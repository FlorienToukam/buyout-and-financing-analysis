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5ee024c4bf4a7c" /></Relationships>
</file>

<file path=xl/workbook.xml><?xml version="1.0" encoding="utf-8"?>
<x:workbook xmlns:x="http://schemas.openxmlformats.org/spreadsheetml/2006/main">
  <x:sheets>
    <x:sheet xmlns:r="http://schemas.openxmlformats.org/officeDocument/2006/relationships" name="Summary" sheetId="1" r:id="R1267974382564d2a"/>
    <x:sheet xmlns:r="http://schemas.openxmlformats.org/officeDocument/2006/relationships" name="Assumptions" sheetId="2" r:id="Rfb1ef0e348fa42ad"/>
    <x:sheet xmlns:r="http://schemas.openxmlformats.org/officeDocument/2006/relationships" name="Historical" sheetId="3" r:id="R478a424feb014f97"/>
    <x:sheet xmlns:r="http://schemas.openxmlformats.org/officeDocument/2006/relationships" name="Operating" sheetId="4" r:id="R150413aa0736498b"/>
    <x:sheet xmlns:r="http://schemas.openxmlformats.org/officeDocument/2006/relationships" name="Financing" sheetId="5" r:id="R2648ea5cb50b4dcd"/>
    <x:sheet xmlns:r="http://schemas.openxmlformats.org/officeDocument/2006/relationships" name="Returns" sheetId="6" r:id="Rb804de7433da49ad"/>
    <x:sheet xmlns:r="http://schemas.openxmlformats.org/officeDocument/2006/relationships" name="ESOP" sheetId="7" r:id="Rf6be95aba4334fab"/>
    <x:sheet xmlns:r="http://schemas.openxmlformats.org/officeDocument/2006/relationships" name="Sources" sheetId="8" r:id="R571868d916144c28"/>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0;(#,##0.00);&quot;-&quot;"/>
    <x:numFmt numFmtId="201" formatCode="0.0%;(0.0%);&quot;-&quot;"/>
    <x:numFmt numFmtId="202" formatCode="0"/>
    <x:numFmt numFmtId="203" formatCode="0.00&quot;x&quot;"/>
    <x:numFmt numFmtId="204" formatCode="mmm d, yyyy"/>
    <x:numFmt numFmtId="205" formatCode="mmm yyyy"/>
    <x:numFmt numFmtId="206" formatCode="0.00%"/>
    <x:numFmt numFmtId="207" formatCode="mmm yy"/>
  </x:numFmts>
  <x:fonts count="9">
    <x:font>
      <x:sz val="11"/>
      <x:name val="Carlito"/>
    </x:font>
    <x:font>
      <x:sz val="11"/>
      <x:color rgb="FF111111"/>
      <x:name val="Arial"/>
    </x:font>
    <x:font>
      <x:b/>
      <x:sz val="17"/>
      <x:color rgb="FF18344D"/>
      <x:name val="Arial"/>
    </x:font>
    <x:font>
      <x:sz val="10"/>
      <x:color rgb="FF66727C"/>
      <x:name val="Arial"/>
    </x:font>
    <x:font>
      <x:b/>
      <x:sz val="11"/>
      <x:color rgb="FFFFFFFF"/>
      <x:name val="Arial"/>
    </x:font>
    <x:font>
      <x:sz val="11"/>
      <x:color rgb="FF0000FF"/>
      <x:name val="Arial"/>
    </x:font>
    <x:font>
      <x:b/>
      <x:sz val="11"/>
      <x:color rgb="FF111111"/>
      <x:name val="Arial"/>
    </x:font>
    <x:font>
      <x:sz val="11"/>
      <x:color rgb="FF008040"/>
      <x:name val="Arial"/>
    </x:font>
    <x:font>
      <x:b/>
      <x:sz val="11"/>
      <x:color rgb="FF008040"/>
      <x:name val="Arial"/>
    </x:font>
  </x:fonts>
  <x:fills count="4">
    <x:fill>
      <x:patternFill patternType="none"/>
    </x:fill>
    <x:fill>
      <x:patternFill patternType="gray125"/>
    </x:fill>
    <x:fill>
      <x:patternFill patternType="solid">
        <x:fgColor rgb="FF18344D"/>
      </x:patternFill>
    </x:fill>
    <x:fill>
      <x:patternFill patternType="solid">
        <x:fgColor rgb="FFFFF2CC"/>
      </x:patternFill>
    </x:fill>
  </x:fills>
  <x:borders count="2">
    <x:border/>
    <x:border>
      <x:top style="thin">
        <x:color rgb="FF18344D"/>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200" fontId="5"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200" fontId="1" fillId="0" borderId="1" xfId="0" applyNumberFormat="1" applyFont="1" applyFill="1" applyBorder="1" applyAlignment="1">
      <x:alignment vertical="center"/>
    </x:xf>
    <x:xf numFmtId="0" fontId="6" fillId="0" borderId="1" xfId="0" applyNumberFormat="1" applyFont="1" applyFill="1" applyBorder="1" applyAlignment="1">
      <x:alignment vertical="center"/>
    </x:xf>
    <x:xf numFmtId="200" fontId="6" fillId="0" borderId="1" xfId="0" applyNumberFormat="1" applyFont="1" applyFill="1" applyBorder="1" applyAlignment="1">
      <x:alignment vertical="center"/>
    </x:xf>
    <x:xf numFmtId="200" fontId="1" fillId="2" borderId="0" xfId="0" applyNumberFormat="1" applyFont="1" applyFill="1" applyBorder="1" applyAlignment="1">
      <x:alignment vertical="center"/>
    </x:xf>
    <x:xf numFmtId="200" fontId="4" fillId="2" borderId="0" xfId="0" applyNumberFormat="1" applyFont="1" applyFill="1" applyBorder="1" applyAlignment="1">
      <x:alignment vertical="center"/>
    </x:xf>
    <x:xf numFmtId="20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200" fontId="3" fillId="0" borderId="0" xfId="0" applyNumberFormat="1" applyFont="1" applyFill="1" applyBorder="1" applyAlignment="1">
      <x:alignment vertical="center" wrapText="1"/>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0" fontId="5" fillId="0" borderId="0" xfId="0" applyNumberFormat="1" applyFont="1" applyFill="1" applyBorder="1" applyAlignment="1">
      <x:alignment vertical="center"/>
    </x:xf>
    <x:xf numFmtId="202" fontId="5" fillId="0" borderId="0" xfId="0" applyNumberFormat="1" applyFont="1" applyFill="1" applyBorder="1" applyAlignment="1">
      <x:alignment vertical="center"/>
    </x:xf>
    <x:xf numFmtId="202" fontId="5" fillId="3" borderId="0" xfId="0" applyNumberFormat="1" applyFont="1" applyFill="1" applyBorder="1" applyAlignment="1">
      <x:alignment vertical="center"/>
    </x:xf>
    <x:xf numFmtId="0" fontId="1" fillId="3" borderId="0" xfId="0" applyNumberFormat="1" applyFont="1" applyFill="1" applyBorder="1" applyAlignment="1">
      <x:alignment vertical="center"/>
    </x:xf>
    <x:xf numFmtId="203" fontId="5" fillId="0" borderId="0" xfId="0" applyNumberFormat="1" applyFont="1" applyFill="1" applyBorder="1" applyAlignment="1">
      <x:alignment vertical="center"/>
    </x:xf>
    <x:xf numFmtId="201" fontId="5" fillId="0" borderId="0" xfId="0" applyNumberFormat="1" applyFont="1" applyFill="1" applyBorder="1" applyAlignment="1">
      <x:alignment vertical="center"/>
    </x:xf>
    <x:xf numFmtId="204" fontId="5"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205" fontId="1" fillId="2" borderId="0" xfId="0" applyNumberFormat="1" applyFont="1" applyFill="1" applyBorder="1" applyAlignment="1">
      <x:alignment vertical="center"/>
    </x:xf>
    <x:xf numFmtId="205" fontId="4" fillId="2" borderId="0" xfId="0" applyNumberFormat="1" applyFont="1" applyFill="1" applyBorder="1" applyAlignment="1">
      <x:alignment vertical="center"/>
    </x:xf>
    <x:xf numFmtId="206" fontId="5"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205" fontId="7" fillId="0" borderId="0" xfId="0" applyNumberFormat="1" applyFont="1" applyFill="1" applyBorder="1" applyAlignment="1">
      <x:alignment vertical="center"/>
    </x:xf>
    <x:xf numFmtId="205" fontId="7" fillId="2" borderId="0" xfId="0" applyNumberFormat="1" applyFont="1" applyFill="1" applyBorder="1" applyAlignment="1">
      <x:alignment vertical="center"/>
    </x:xf>
    <x:xf numFmtId="200" fontId="7" fillId="0" borderId="0" xfId="0" applyNumberFormat="1" applyFont="1" applyFill="1" applyBorder="1" applyAlignment="1">
      <x:alignment vertical="center"/>
    </x:xf>
    <x:xf numFmtId="201" fontId="7" fillId="0"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200" fontId="7" fillId="0" borderId="1" xfId="0" applyNumberFormat="1" applyFont="1" applyFill="1" applyBorder="1" applyAlignment="1">
      <x:alignment vertical="center"/>
    </x:xf>
    <x:xf numFmtId="200" fontId="8" fillId="0" borderId="1" xfId="0" applyNumberFormat="1" applyFont="1" applyFill="1" applyBorder="1" applyAlignment="1">
      <x:alignment vertical="center"/>
    </x:xf>
    <x:xf numFmtId="203" fontId="7" fillId="0" borderId="0" xfId="0" applyNumberFormat="1" applyFont="1" applyFill="1" applyBorder="1" applyAlignment="1">
      <x:alignment vertical="center"/>
    </x:xf>
    <x:xf numFmtId="207" fontId="7" fillId="0" borderId="0" xfId="0" applyNumberFormat="1" applyFont="1" applyFill="1" applyBorder="1" applyAlignment="1">
      <x:alignment vertical="center"/>
    </x:xf>
    <x:xf numFmtId="203" fontId="1"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1ba71da2d6947db" /><Relationship Type="http://schemas.openxmlformats.org/officeDocument/2006/relationships/theme" Target="/xl/theme/theme1.xml" Id="R072b5642a92a4828" /><Relationship Type="http://schemas.openxmlformats.org/officeDocument/2006/relationships/sharedStrings" Target="/xl/sharedStrings.xml" Id="Rd98e72f4e2ca4d74" /><Relationship Type="http://schemas.openxmlformats.org/officeDocument/2006/relationships/worksheet" Target="/xl/worksheets/sheet1.xml" Id="R1267974382564d2a" /><Relationship Type="http://schemas.openxmlformats.org/officeDocument/2006/relationships/worksheet" Target="/xl/worksheets/sheet2.xml" Id="Rfb1ef0e348fa42ad" /><Relationship Type="http://schemas.openxmlformats.org/officeDocument/2006/relationships/worksheet" Target="/xl/worksheets/sheet3.xml" Id="R478a424feb014f97" /><Relationship Type="http://schemas.openxmlformats.org/officeDocument/2006/relationships/worksheet" Target="/xl/worksheets/sheet4.xml" Id="R150413aa0736498b" /><Relationship Type="http://schemas.openxmlformats.org/officeDocument/2006/relationships/worksheet" Target="/xl/worksheets/sheet5.xml" Id="R2648ea5cb50b4dcd" /><Relationship Type="http://schemas.openxmlformats.org/officeDocument/2006/relationships/worksheet" Target="/xl/worksheets/sheet6.xml" Id="Rb804de7433da49ad" /><Relationship Type="http://schemas.openxmlformats.org/officeDocument/2006/relationships/worksheet" Target="/xl/worksheets/sheet7.xml" Id="Rf6be95aba4334fab" /><Relationship Type="http://schemas.openxmlformats.org/officeDocument/2006/relationships/worksheet" Target="/xl/worksheets/sheet8.xml" Id="R571868d916144c2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43"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ht="32" customHeight="1">
      <x:c r="C1" s="4" t="str">
        <x:v>Core Molding summary</x:v>
      </x:c>
      <x:c r="D1" s="4"/>
      <x:c r="E1" s="4"/>
      <x:c r="F1" s="4"/>
      <x:c r="G1" s="4"/>
      <x:c r="H1" s="4"/>
      <x:c r="I1" s="4"/>
    </x:row>
    <x:row r="2" ht="24" customHeight="1">
      <x:c r="C2" s="5" t="str">
        <x:v>Independent investment case | USD millions unless stated | Prepared October 1, 2026</x:v>
      </x:c>
      <x:c r="D2" s="5"/>
      <x:c r="E2" s="5"/>
      <x:c r="F2" s="5"/>
      <x:c r="G2" s="5"/>
      <x:c r="H2" s="5"/>
      <x:c r="I2" s="5"/>
    </x:row>
    <x:row r="3" ht="22" customHeight="1">
      <x:c r="C3" s="2"/>
      <x:c r="D3" s="2"/>
      <x:c r="E3" s="2"/>
      <x:c r="F3" s="2"/>
      <x:c r="G3" s="2"/>
      <x:c r="H3" s="2"/>
      <x:c r="I3" s="2"/>
    </x:row>
    <x:row r="4" ht="22" customHeight="1">
      <x:c r="C4" s="2" t="str">
        <x:v>Selected operating case</x:v>
      </x:c>
      <x:c r="D4" s="32" t="str">
        <x:f>'Assumptions'!E4</x:f>
        <x:v>Base</x:v>
      </x:c>
      <x:c r="E4" s="2"/>
      <x:c r="F4" s="2"/>
      <x:c r="G4" s="2"/>
      <x:c r="H4" s="2"/>
      <x:c r="I4" s="2"/>
    </x:row>
    <x:row r="5" ht="22" customHeight="1">
      <x:c r="C5" s="2"/>
      <x:c r="D5" s="2"/>
      <x:c r="E5" s="2"/>
      <x:c r="F5" s="2"/>
      <x:c r="G5" s="2"/>
      <x:c r="H5" s="2"/>
      <x:c r="I5" s="2"/>
    </x:row>
    <x:row r="6" ht="32" customHeight="1">
      <x:c r="C6" s="37" t="str">
        <x:v>Investment economics</x:v>
      </x:c>
      <x:c r="D6" s="37" t="str">
        <x:v>Sponsor equity</x:v>
      </x:c>
      <x:c r="E6" s="37" t="str">
        <x:v>Seller financing</x:v>
      </x:c>
      <x:c r="F6" s="2"/>
      <x:c r="G6" s="2"/>
      <x:c r="H6" s="2"/>
      <x:c r="I6" s="2"/>
    </x:row>
    <x:row r="7" ht="22" customHeight="1">
      <x:c r="C7" s="2"/>
      <x:c r="D7" s="3"/>
      <x:c r="E7" s="3"/>
      <x:c r="F7" s="3"/>
      <x:c r="G7" s="3"/>
      <x:c r="H7" s="3"/>
      <x:c r="I7" s="3"/>
    </x:row>
    <x:row r="8" ht="22" customHeight="1">
      <x:c r="C8" s="2" t="str">
        <x:v>Entry enterprise value</x:v>
      </x:c>
      <x:c r="D8" s="35" t="n">
        <x:f>'Financing'!D8</x:f>
        <x:v>173.826</x:v>
      </x:c>
      <x:c r="E8" s="35" t="n">
        <x:f>'Financing'!E8</x:f>
        <x:v>173.826</x:v>
      </x:c>
      <x:c r="F8" s="3"/>
      <x:c r="G8" s="3"/>
      <x:c r="H8" s="3"/>
      <x:c r="I8" s="3"/>
    </x:row>
    <x:row r="9" ht="22" customHeight="1">
      <x:c r="C9" s="2" t="str">
        <x:v>Initial equity</x:v>
      </x:c>
      <x:c r="D9" s="35" t="n">
        <x:f>'Returns'!D27</x:f>
        <x:v>117.96143249999997</x:v>
      </x:c>
      <x:c r="E9" s="35" t="n">
        <x:f>'Returns'!E27</x:f>
        <x:v>88.99043249999997</x:v>
      </x:c>
      <x:c r="F9" s="3"/>
      <x:c r="G9" s="3"/>
      <x:c r="H9" s="3"/>
      <x:c r="I9" s="3"/>
    </x:row>
    <x:row r="10" ht="22" customHeight="1">
      <x:c r="C10" s="2" t="str">
        <x:v>Additional equity required</x:v>
      </x:c>
      <x:c r="D10" s="35" t="n">
        <x:f>'Returns'!D28</x:f>
        <x:v>13.679522859999995</x:v>
      </x:c>
      <x:c r="E10" s="35" t="n">
        <x:f>'Returns'!E28</x:f>
        <x:v>14.537064459999996</x:v>
      </x:c>
      <x:c r="F10" s="3"/>
      <x:c r="G10" s="3"/>
      <x:c r="H10" s="3"/>
      <x:c r="I10" s="3"/>
    </x:row>
    <x:row r="11" ht="22" customHeight="1">
      <x:c r="C11" s="2" t="str">
        <x:v>Total equity invested</x:v>
      </x:c>
      <x:c r="D11" s="35" t="n">
        <x:f>'Returns'!D29</x:f>
        <x:v>131.64095535999996</x:v>
      </x:c>
      <x:c r="E11" s="35" t="n">
        <x:f>'Returns'!E29</x:f>
        <x:v>103.52749695999997</x:v>
      </x:c>
      <x:c r="F11" s="3"/>
      <x:c r="G11" s="3"/>
      <x:c r="H11" s="3"/>
      <x:c r="I11" s="3"/>
    </x:row>
    <x:row r="12" ht="22" customHeight="1">
      <x:c r="C12" s="2" t="str">
        <x:v>Exit equity proceeds</x:v>
      </x:c>
      <x:c r="D12" s="35" t="n">
        <x:f>'Returns'!D30</x:f>
        <x:v>259.59892244481335</x:v>
      </x:c>
      <x:c r="E12" s="35" t="n">
        <x:f>'Returns'!E30</x:f>
        <x:v>220.2259637362081</x:v>
      </x:c>
      <x:c r="F12" s="3"/>
      <x:c r="G12" s="3"/>
      <x:c r="H12" s="3"/>
      <x:c r="I12" s="3"/>
    </x:row>
    <x:row r="13" ht="22" customHeight="1">
      <x:c r="C13" s="2" t="str">
        <x:v>Gross equity XIRR</x:v>
      </x:c>
      <x:c r="D13" s="36" t="n">
        <x:f>'Returns'!D32</x:f>
        <x:v>0.14848219203437896</x:v>
      </x:c>
      <x:c r="E13" s="36" t="n">
        <x:f>'Returns'!E32</x:f>
        <x:v>0.1676005500088171</x:v>
      </x:c>
      <x:c r="F13" s="3"/>
      <x:c r="G13" s="3"/>
      <x:c r="H13" s="3"/>
      <x:c r="I13" s="3"/>
    </x:row>
    <x:row r="14" ht="22" customHeight="1">
      <x:c r="C14" s="2" t="str">
        <x:v>Gross equity MOIC</x:v>
      </x:c>
      <x:c r="D14" s="40" t="n">
        <x:f>'Returns'!D31</x:f>
        <x:v>1.972022473818162</x:v>
      </x:c>
      <x:c r="E14" s="40" t="n">
        <x:f>'Returns'!E31</x:f>
        <x:v>2.127221947820269</x:v>
      </x:c>
      <x:c r="F14" s="3"/>
      <x:c r="G14" s="3"/>
      <x:c r="H14" s="3"/>
      <x:c r="I14" s="3"/>
    </x:row>
    <x:row r="15" ht="22" customHeight="1">
      <x:c r="C15" s="2" t="str">
        <x:v>Seller note at exit</x:v>
      </x:c>
      <x:c r="D15" s="35" t="n">
        <x:f>'Returns'!D22</x:f>
        <x:v>0</x:v>
      </x:c>
      <x:c r="E15" s="35" t="n">
        <x:f>'Returns'!E22</x:f>
        <x:v>35.2476512354304</x:v>
      </x:c>
      <x:c r="F15" s="3"/>
      <x:c r="G15" s="3"/>
      <x:c r="H15" s="3"/>
      <x:c r="I15" s="3"/>
    </x:row>
    <x:row r="16" ht="22" customHeight="1">
      <x:c r="C16" s="2" t="str">
        <x:v>Senior debt at exit</x:v>
      </x:c>
      <x:c r="D16" s="35" t="n">
        <x:f>'Returns'!D21</x:f>
        <x:v>16.77240653599501</x:v>
      </x:c>
      <x:c r="E16" s="35" t="n">
        <x:f>'Returns'!E21</x:f>
        <x:v>20.89771400916988</x:v>
      </x:c>
      <x:c r="F16" s="3"/>
      <x:c r="G16" s="3"/>
      <x:c r="H16" s="3"/>
      <x:c r="I16" s="3"/>
    </x:row>
    <x:row r="17" ht="22" customHeight="1">
      <x:c r="C17" s="2"/>
      <x:c r="D17" s="3"/>
      <x:c r="E17" s="3"/>
      <x:c r="F17" s="3"/>
      <x:c r="G17" s="3"/>
      <x:c r="H17" s="3"/>
      <x:c r="I17" s="3"/>
    </x:row>
    <x:row r="18" ht="22" customHeight="1">
      <x:c r="C18" s="2"/>
      <x:c r="D18" s="3"/>
      <x:c r="E18" s="3"/>
      <x:c r="F18" s="3"/>
      <x:c r="G18" s="3"/>
      <x:c r="H18" s="3"/>
      <x:c r="I18" s="3"/>
    </x:row>
    <x:row r="19" ht="24" customHeight="1">
      <x:c r="C19" s="7" t="str">
        <x:v>Company cash generation</x:v>
      </x:c>
      <x:c r="D19" s="15"/>
      <x:c r="E19" s="15"/>
      <x:c r="F19" s="3"/>
      <x:c r="G19" s="3"/>
      <x:c r="H19" s="3"/>
      <x:c r="I19" s="3"/>
    </x:row>
    <x:row r="20" ht="22" customHeight="1">
      <x:c r="C20" s="2"/>
      <x:c r="D20" s="3"/>
      <x:c r="E20" s="3"/>
      <x:c r="F20" s="3"/>
      <x:c r="G20" s="3"/>
      <x:c r="H20" s="3"/>
      <x:c r="I20" s="3"/>
    </x:row>
    <x:row r="21" ht="22" customHeight="1">
      <x:c r="C21" s="2" t="str">
        <x:v>LTM adjusted EBITDA</x:v>
      </x:c>
      <x:c r="D21" s="35" t="n">
        <x:f>'Historical'!G12</x:f>
        <x:v>28.971</x:v>
      </x:c>
      <x:c r="E21" s="3"/>
      <x:c r="F21" s="3"/>
      <x:c r="G21" s="3"/>
      <x:c r="H21" s="3"/>
      <x:c r="I21" s="3"/>
    </x:row>
    <x:row r="22" ht="22" customHeight="1">
      <x:c r="C22" s="2" t="str">
        <x:v>LTM free cash flow</x:v>
      </x:c>
      <x:c r="D22" s="35" t="n">
        <x:f>'Historical'!G15</x:f>
        <x:v>-8.302</x:v>
      </x:c>
      <x:c r="E22" s="3"/>
      <x:c r="F22" s="3"/>
      <x:c r="G22" s="3"/>
      <x:c r="H22" s="3"/>
      <x:c r="I22" s="3"/>
    </x:row>
    <x:row r="23" ht="22" customHeight="1">
      <x:c r="C23" s="2" t="str">
        <x:v>First-year modeled capex</x:v>
      </x:c>
      <x:c r="D23" s="35" t="n">
        <x:f>'Operating'!D26</x:f>
        <x:v>26</x:v>
      </x:c>
      <x:c r="E23" s="3"/>
      <x:c r="F23" s="3"/>
      <x:c r="G23" s="3"/>
      <x:c r="H23" s="3"/>
      <x:c r="I23" s="3"/>
    </x:row>
    <x:row r="24" ht="22" customHeight="1">
      <x:c r="C24" s="2" t="str">
        <x:v>ESOP first-year funding gap</x:v>
      </x:c>
      <x:c r="D24" s="35" t="n">
        <x:f>'ESOP'!D27</x:f>
        <x:v>17.17118126199999</x:v>
      </x:c>
      <x:c r="E24" s="3"/>
      <x:c r="F24" s="3"/>
      <x:c r="G24" s="3"/>
      <x:c r="H24" s="3"/>
      <x:c r="I24" s="3"/>
    </x:row>
    <x:row r="25" ht="22" customHeight="1">
      <x:c r="C25" s="2"/>
      <x:c r="D25" s="3"/>
      <x:c r="E25" s="3"/>
      <x:c r="F25" s="3"/>
      <x:c r="G25" s="3"/>
      <x:c r="H25" s="3"/>
      <x:c r="I25" s="3"/>
    </x:row>
    <x:row r="26" ht="22" customHeight="1">
      <x:c r="C26" s="2"/>
      <x:c r="D26" s="3"/>
      <x:c r="E26" s="3"/>
      <x:c r="F26" s="3"/>
      <x:c r="G26" s="3"/>
      <x:c r="H26" s="3"/>
      <x:c r="I26" s="3"/>
    </x:row>
    <x:row r="27" ht="24" customHeight="1">
      <x:c r="C27" s="7" t="str">
        <x:v>Model checks</x:v>
      </x:c>
      <x:c r="D27" s="15"/>
      <x:c r="E27" s="15"/>
      <x:c r="F27" s="3"/>
      <x:c r="G27" s="3"/>
      <x:c r="H27" s="3"/>
      <x:c r="I27" s="3"/>
    </x:row>
    <x:row r="28" ht="22" customHeight="1">
      <x:c r="C28" s="2"/>
      <x:c r="D28" s="3"/>
      <x:c r="E28" s="3"/>
      <x:c r="F28" s="3"/>
      <x:c r="G28" s="3"/>
      <x:c r="H28" s="3"/>
      <x:c r="I28" s="3"/>
    </x:row>
    <x:row r="29" ht="22" customHeight="1">
      <x:c r="C29" s="2" t="str">
        <x:v>Sources and uses residual</x:v>
      </x:c>
      <x:c r="D29" s="35" t="n">
        <x:f>'Financing'!D22</x:f>
        <x:v>0</x:v>
      </x:c>
      <x:c r="E29" s="35" t="n">
        <x:f>'Financing'!E22</x:f>
        <x:v>0</x:v>
      </x:c>
      <x:c r="F29" s="3"/>
      <x:c r="G29" s="3"/>
      <x:c r="H29" s="3"/>
      <x:c r="I29" s="3"/>
    </x:row>
    <x:row r="30" ht="22" customHeight="1">
      <x:c r="C30" s="2" t="str">
        <x:v>Largest cash roll-forward residual</x:v>
      </x:c>
      <x:c r="D30" s="35" t="n">
        <x:f>MAX(MAX('Financing'!D46:H46),-MIN('Financing'!D46:H46))</x:f>
        <x:v>0</x:v>
      </x:c>
      <x:c r="E30" s="35" t="n">
        <x:f>MAX(MAX('Financing'!D72:H72),-MIN('Financing'!D72:H72))</x:f>
        <x:v>0</x:v>
      </x:c>
      <x:c r="F30" s="3"/>
      <x:c r="G30" s="3"/>
      <x:c r="H30" s="3"/>
      <x:c r="I30" s="3"/>
    </x:row>
    <x:row r="31" ht="22" customHeight="1">
      <x:c r="C31" s="2" t="str">
        <x:v>Largest debt roll-forward residual</x:v>
      </x:c>
      <x:c r="D31" s="35" t="n">
        <x:f>MAX(MAX('Financing'!D47:H47),-MIN('Financing'!D47:H47))</x:f>
        <x:v>0</x:v>
      </x:c>
      <x:c r="E31" s="35" t="n">
        <x:f>MAX(MAX('Financing'!D73:H73),-MIN('Financing'!D73:H73))</x:f>
        <x:v>1.4210854715202004e-14</x:v>
      </x:c>
      <x:c r="F31" s="3"/>
      <x:c r="G31" s="3"/>
      <x:c r="H31" s="3"/>
      <x:c r="I31" s="3"/>
    </x:row>
    <x:row r="32" ht="22" customHeight="1">
      <x:c r="C32" s="2" t="str">
        <x:v>Equity XNPV residual</x:v>
      </x:c>
      <x:c r="D32" s="35" t="n">
        <x:f>'Returns'!D35</x:f>
        <x:v>-2.842170943040401e-14</x:v>
      </x:c>
      <x:c r="E32" s="35" t="n">
        <x:f>'Returns'!E35</x:f>
        <x:v>-5.684341886080802e-14</x:v>
      </x:c>
      <x:c r="F32" s="3"/>
      <x:c r="G32" s="3"/>
      <x:c r="H32" s="3"/>
      <x:c r="I32" s="3"/>
    </x:row>
    <x:row r="33" ht="22" customHeight="1">
      <x:c r="C33" s="2" t="str">
        <x:v>Uncovered exit debt</x:v>
      </x:c>
      <x:c r="D33" s="35" t="n">
        <x:f>'Returns'!D24</x:f>
        <x:v>0</x:v>
      </x:c>
      <x:c r="E33" s="35" t="n">
        <x:f>'Returns'!E24</x:f>
        <x:v>0</x:v>
      </x:c>
      <x:c r="F33" s="3"/>
      <x:c r="G33" s="3"/>
      <x:c r="H33" s="3"/>
      <x:c r="I33" s="3"/>
    </x:row>
    <x:row r="34" ht="22" customHeight="1">
      <x:c r="C34" s="2"/>
      <x:c r="D34" s="3"/>
      <x:c r="E34" s="3"/>
      <x:c r="F34" s="3"/>
      <x:c r="G34" s="3"/>
      <x:c r="H34" s="3"/>
      <x:c r="I34" s="3"/>
    </x:row>
    <x:row r="35" ht="22" customHeight="1">
      <x:c r="C35" s="2"/>
      <x:c r="D35" s="3"/>
      <x:c r="E35" s="3"/>
      <x:c r="F35" s="3"/>
      <x:c r="G35" s="3"/>
      <x:c r="H35" s="3"/>
      <x:c r="I35" s="3"/>
    </x:row>
    <x:row r="36" ht="45" customHeight="1">
      <x:c r="C36" s="19" t="str">
        <x:v>Start with Assumptions D4 to switch the operating case. Historical contains source financials. Operating and Financing explain cash generation and debt. Returns shows investor cash flows. ESOP is a separate funding-capacity screen.</x:v>
      </x:c>
      <x:c r="D36" s="20"/>
      <x:c r="E36" s="20"/>
      <x:c r="F36" s="20"/>
      <x:c r="G36" s="20"/>
      <x:c r="H36" s="20"/>
      <x:c r="I36" s="20"/>
    </x:row>
    <x:row r="37" ht="22" customHeight="1">
      <x:c r="C37" s="2"/>
      <x:c r="D37" s="3"/>
      <x:c r="E37" s="3"/>
      <x:c r="F37" s="3"/>
      <x:c r="G37" s="3"/>
      <x:c r="H37" s="3"/>
      <x:c r="I37" s="3"/>
    </x:row>
    <x:row r="38" ht="22" customHeight="1">
      <x:c r="C38" s="2"/>
      <x:c r="D38" s="3"/>
      <x:c r="E38" s="3"/>
      <x:c r="F38" s="3"/>
      <x:c r="G38" s="3"/>
      <x:c r="H38" s="3"/>
      <x:c r="I38" s="3"/>
    </x:row>
    <x:row r="39" ht="45" customHeight="1">
      <x:c r="C39" s="19" t="str">
        <x:v>Evaluate the initial equity saving alongside additional capital needs and the seller balloon at exit. Positive EBITDA alone does not fund expansion capex, working capital and debt service. See the investment memorandum for scenario conclusions.</x:v>
      </x:c>
      <x:c r="D39" s="20"/>
      <x:c r="E39" s="20"/>
      <x:c r="F39" s="20"/>
      <x:c r="G39" s="20"/>
      <x:c r="H39" s="20"/>
      <x:c r="I39" s="20"/>
    </x:row>
    <x:row r="40" ht="22" customHeight="1">
      <x:c r="C40" s="2"/>
      <x:c r="D40" s="3"/>
      <x:c r="E40" s="3"/>
      <x:c r="F40" s="3"/>
      <x:c r="G40" s="3"/>
      <x:c r="H40" s="3"/>
      <x:c r="I40" s="3"/>
    </x:row>
    <x:row r="41" ht="22" customHeight="1">
      <x:c r="C41" s="2"/>
      <x:c r="D41" s="3"/>
      <x:c r="E41" s="3"/>
      <x:c r="F41" s="3"/>
      <x:c r="G41" s="3"/>
      <x:c r="H41" s="3"/>
      <x:c r="I41" s="3"/>
    </x:row>
    <x:row r="42" ht="42" customHeight="1">
      <x:c r="C42" s="19" t="str">
        <x:v>Hypothetical acquisition terms applied to published company financials. The workbook is an independent learning case, not an actual Core Molding transaction or a record of realized private-equity performance.</x:v>
      </x:c>
      <x:c r="D42" s="20"/>
      <x:c r="E42" s="20"/>
      <x:c r="F42" s="20"/>
      <x:c r="G42" s="20"/>
      <x:c r="H42" s="20"/>
      <x:c r="I42" s="20"/>
    </x:row>
    <x:row r="43" ht="22" customHeight="1">
      <x:c r="C43" s="2"/>
      <x:c r="D43" s="3"/>
      <x:c r="E43" s="3"/>
      <x:c r="F43" s="3"/>
      <x:c r="G43" s="3"/>
      <x:c r="H43" s="3"/>
      <x:c r="I43" s="3"/>
    </x:row>
    <x:row r="44" ht="22" customHeight="1">
      <x:c r="C44" s="2"/>
      <x:c r="D44" s="3"/>
      <x:c r="E44" s="3"/>
      <x:c r="F44" s="3"/>
      <x:c r="G44" s="3"/>
      <x:c r="H44" s="3"/>
      <x:c r="I44" s="3"/>
    </x:row>
    <x:row r="45" ht="22" customHeight="1">
      <x:c r="C45" s="2"/>
      <x:c r="D45" s="3"/>
      <x:c r="E45" s="3"/>
      <x:c r="F45" s="3"/>
      <x:c r="G45" s="3"/>
      <x:c r="H45" s="3"/>
      <x:c r="I45" s="3"/>
    </x:row>
    <x:row r="46" ht="22" customHeight="1">
      <x:c r="C46" s="2"/>
      <x:c r="D46" s="3"/>
      <x:c r="E46" s="3"/>
      <x:c r="F46" s="3"/>
      <x:c r="G46" s="3"/>
      <x:c r="H46" s="3"/>
      <x:c r="I46" s="3"/>
    </x:row>
    <x:row r="47" ht="22" customHeight="1">
      <x:c r="C47" s="2"/>
      <x:c r="D47" s="3"/>
      <x:c r="E47" s="3"/>
      <x:c r="F47" s="3"/>
      <x:c r="G47" s="3"/>
      <x:c r="H47" s="3"/>
      <x:c r="I47" s="3"/>
    </x:row>
    <x:row r="48" ht="22" customHeight="1">
      <x:c r="C48" s="2"/>
      <x:c r="D48" s="3"/>
      <x:c r="E48" s="3"/>
      <x:c r="F48" s="3"/>
      <x:c r="G48" s="3"/>
      <x:c r="H48" s="3"/>
      <x:c r="I48" s="3"/>
    </x:row>
    <x:row r="49" ht="22" customHeight="1">
      <x:c r="C49" s="2"/>
      <x:c r="D49" s="3"/>
      <x:c r="E49" s="3"/>
      <x:c r="F49" s="3"/>
      <x:c r="G49" s="3"/>
      <x:c r="H49" s="3"/>
      <x:c r="I49" s="3"/>
    </x:row>
    <x:row r="50" ht="22" customHeight="1">
      <x:c r="C50" s="2"/>
      <x:c r="D50" s="3"/>
      <x:c r="E50" s="3"/>
      <x:c r="F50" s="3"/>
      <x:c r="G50" s="3"/>
      <x:c r="H50" s="3"/>
      <x:c r="I50" s="3"/>
    </x:row>
    <x:row r="51" ht="22" customHeight="1">
      <x:c r="C51" s="2"/>
      <x:c r="D51" s="3"/>
      <x:c r="E51" s="3"/>
      <x:c r="F51" s="3"/>
      <x:c r="G51" s="3"/>
      <x:c r="H51" s="3"/>
      <x:c r="I51" s="3"/>
    </x:row>
    <x:row r="52" ht="22" customHeight="1">
      <x:c r="C52" s="2"/>
      <x:c r="D52" s="3"/>
      <x:c r="E52" s="3"/>
      <x:c r="F52" s="3"/>
      <x:c r="G52" s="3"/>
      <x:c r="H52" s="3"/>
      <x:c r="I52" s="3"/>
    </x:row>
    <x:row r="53" ht="22" customHeight="1">
      <x:c r="C53" s="2"/>
      <x:c r="D53" s="3"/>
      <x:c r="E53" s="3"/>
      <x:c r="F53" s="3"/>
      <x:c r="G53" s="3"/>
      <x:c r="H53" s="3"/>
      <x:c r="I53" s="3"/>
    </x:row>
    <x:row r="54" ht="22" customHeight="1">
      <x:c r="C54" s="2"/>
      <x:c r="D54" s="3"/>
      <x:c r="E54" s="3"/>
      <x:c r="F54" s="3"/>
      <x:c r="G54" s="3"/>
      <x:c r="H54" s="3"/>
      <x:c r="I54" s="3"/>
    </x:row>
    <x:row r="55" ht="22" customHeight="1">
      <x:c r="C55" s="2"/>
      <x:c r="D55" s="3"/>
      <x:c r="E55" s="3"/>
      <x:c r="F55" s="3"/>
      <x:c r="G55" s="3"/>
      <x:c r="H55" s="3"/>
      <x:c r="I55" s="3"/>
    </x:row>
    <x:row r="56" ht="22" customHeight="1">
      <x:c r="C56" s="2"/>
      <x:c r="D56" s="3"/>
      <x:c r="E56" s="3"/>
      <x:c r="F56" s="3"/>
      <x:c r="G56" s="3"/>
      <x:c r="H56" s="3"/>
      <x:c r="I56" s="3"/>
    </x:row>
    <x:row r="57" ht="22" customHeight="1">
      <x:c r="C57" s="2"/>
      <x:c r="D57" s="3"/>
      <x:c r="E57" s="3"/>
      <x:c r="F57" s="3"/>
      <x:c r="G57" s="3"/>
      <x:c r="H57" s="3"/>
      <x:c r="I57" s="3"/>
    </x:row>
    <x:row r="58" ht="22" customHeight="1">
      <x:c r="C58" s="2"/>
      <x:c r="D58" s="3"/>
      <x:c r="E58" s="3"/>
      <x:c r="F58" s="3"/>
      <x:c r="G58" s="3"/>
      <x:c r="H58" s="3"/>
      <x:c r="I58" s="3"/>
    </x:row>
    <x:row r="59" ht="22" customHeight="1">
      <x:c r="C59" s="2"/>
      <x:c r="D59" s="3"/>
      <x:c r="E59" s="3"/>
      <x:c r="F59" s="3"/>
      <x:c r="G59" s="3"/>
      <x:c r="H59" s="3"/>
      <x:c r="I59" s="3"/>
    </x:row>
    <x:row r="60" ht="22" customHeight="1">
      <x:c r="C60" s="2"/>
      <x:c r="D60" s="3"/>
      <x:c r="E60" s="3"/>
      <x:c r="F60" s="3"/>
      <x:c r="G60" s="3"/>
      <x:c r="H60" s="3"/>
      <x:c r="I60" s="3"/>
    </x:row>
    <x:row r="61" ht="22" customHeight="1">
      <x:c r="C61" s="2"/>
      <x:c r="D61" s="3"/>
      <x:c r="E61" s="3"/>
      <x:c r="F61" s="3"/>
      <x:c r="G61" s="3"/>
      <x:c r="H61" s="3"/>
      <x:c r="I61" s="3"/>
    </x:row>
    <x:row r="62" ht="22" customHeight="1">
      <x:c r="C62" s="2"/>
      <x:c r="D62" s="3"/>
      <x:c r="E62" s="3"/>
      <x:c r="F62" s="3"/>
      <x:c r="G62" s="3"/>
      <x:c r="H62" s="3"/>
      <x:c r="I62" s="3"/>
    </x:row>
    <x:row r="63" ht="22" customHeight="1">
      <x:c r="C63" s="2"/>
      <x:c r="D63" s="3"/>
      <x:c r="E63" s="3"/>
      <x:c r="F63" s="3"/>
      <x:c r="G63" s="3"/>
      <x:c r="H63" s="3"/>
      <x:c r="I63" s="3"/>
    </x:row>
    <x:row r="64" ht="22" customHeight="1">
      <x:c r="C64" s="2"/>
      <x:c r="D64" s="3"/>
      <x:c r="E64" s="3"/>
      <x:c r="F64" s="3"/>
      <x:c r="G64" s="3"/>
      <x:c r="H64" s="3"/>
      <x:c r="I64" s="3"/>
    </x:row>
    <x:row r="65" ht="22" customHeight="1">
      <x:c r="C65" s="2"/>
      <x:c r="D65" s="3"/>
      <x:c r="E65" s="3"/>
      <x:c r="F65" s="3"/>
      <x:c r="G65" s="3"/>
      <x:c r="H65" s="3"/>
      <x:c r="I65" s="3"/>
    </x:row>
    <x:row r="66" ht="22" customHeight="1">
      <x:c r="C66" s="2"/>
      <x:c r="D66" s="3"/>
      <x:c r="E66" s="3"/>
      <x:c r="F66" s="3"/>
      <x:c r="G66" s="3"/>
      <x:c r="H66" s="3"/>
      <x:c r="I66" s="3"/>
    </x:row>
    <x:row r="67" ht="22" customHeight="1">
      <x:c r="C67" s="2"/>
      <x:c r="D67" s="3"/>
      <x:c r="E67" s="3"/>
      <x:c r="F67" s="3"/>
      <x:c r="G67" s="3"/>
      <x:c r="H67" s="3"/>
      <x:c r="I67" s="3"/>
    </x:row>
    <x:row r="68" ht="22" customHeight="1">
      <x:c r="C68" s="2"/>
      <x:c r="D68" s="3"/>
      <x:c r="E68" s="3"/>
      <x:c r="F68" s="3"/>
      <x:c r="G68" s="3"/>
      <x:c r="H68" s="3"/>
      <x:c r="I68" s="3"/>
    </x:row>
    <x:row r="69" ht="22" customHeight="1">
      <x:c r="C69" s="2"/>
      <x:c r="D69" s="3"/>
      <x:c r="E69" s="3"/>
      <x:c r="F69" s="3"/>
      <x:c r="G69" s="3"/>
      <x:c r="H69" s="3"/>
      <x:c r="I69" s="3"/>
    </x:row>
    <x:row r="70" ht="22" customHeight="1">
      <x:c r="C70" s="2"/>
      <x:c r="D70" s="3"/>
      <x:c r="E70" s="3"/>
      <x:c r="F70" s="3"/>
      <x:c r="G70" s="3"/>
      <x:c r="H70" s="3"/>
      <x:c r="I70" s="3"/>
    </x:row>
    <x:row r="71" ht="22" customHeight="1">
      <x:c r="C71" s="2"/>
      <x:c r="D71" s="3"/>
      <x:c r="E71" s="3"/>
      <x:c r="F71" s="3"/>
      <x:c r="G71" s="3"/>
      <x:c r="H71" s="3"/>
      <x:c r="I71" s="3"/>
    </x:row>
    <x:row r="72" ht="22" customHeight="1">
      <x:c r="C72" s="2"/>
      <x:c r="D72" s="3"/>
      <x:c r="E72" s="3"/>
      <x:c r="F72" s="3"/>
      <x:c r="G72" s="3"/>
      <x:c r="H72" s="3"/>
      <x:c r="I72" s="3"/>
    </x:row>
    <x:row r="73" ht="22" customHeight="1">
      <x:c r="C73" s="2"/>
      <x:c r="D73" s="3"/>
      <x:c r="E73" s="3"/>
      <x:c r="F73" s="3"/>
      <x:c r="G73" s="3"/>
      <x:c r="H73" s="3"/>
      <x:c r="I73" s="3"/>
    </x:row>
    <x:row r="74" ht="22" customHeight="1">
      <x:c r="C74" s="2"/>
      <x:c r="D74" s="3"/>
      <x:c r="E74" s="3"/>
      <x:c r="F74" s="3"/>
      <x:c r="G74" s="3"/>
      <x:c r="H74" s="3"/>
      <x:c r="I74" s="3"/>
    </x:row>
    <x:row r="75" ht="22" customHeight="1">
      <x:c r="C75" s="2"/>
      <x:c r="D75" s="3"/>
      <x:c r="E75" s="3"/>
      <x:c r="F75" s="3"/>
      <x:c r="G75" s="3"/>
      <x:c r="H75" s="3"/>
      <x:c r="I75" s="3"/>
    </x:row>
    <x:row r="76" ht="22" customHeight="1">
      <x:c r="C76" s="2"/>
      <x:c r="D76" s="3"/>
      <x:c r="E76" s="3"/>
      <x:c r="F76" s="3"/>
      <x:c r="G76" s="3"/>
      <x:c r="H76" s="3"/>
      <x:c r="I76" s="3"/>
    </x:row>
    <x:row r="77" ht="22" customHeight="1">
      <x:c r="C77" s="2"/>
      <x:c r="D77" s="3"/>
      <x:c r="E77" s="3"/>
      <x:c r="F77" s="3"/>
      <x:c r="G77" s="3"/>
      <x:c r="H77" s="3"/>
      <x:c r="I77" s="3"/>
    </x:row>
    <x:row r="78" ht="22" customHeight="1">
      <x:c r="C78" s="2"/>
      <x:c r="D78" s="3"/>
      <x:c r="E78" s="3"/>
      <x:c r="F78" s="3"/>
      <x:c r="G78" s="3"/>
      <x:c r="H78" s="3"/>
      <x:c r="I78" s="3"/>
    </x:row>
    <x:row r="79" ht="22" customHeight="1">
      <x:c r="C79" s="2"/>
      <x:c r="D79" s="3"/>
      <x:c r="E79" s="3"/>
      <x:c r="F79" s="3"/>
      <x:c r="G79" s="3"/>
      <x:c r="H79" s="3"/>
      <x:c r="I79" s="3"/>
    </x:row>
    <x:row r="80" ht="22" customHeight="1">
      <x:c r="C80" s="2"/>
      <x:c r="D80" s="3"/>
      <x:c r="E80" s="3"/>
      <x:c r="F80" s="3"/>
      <x:c r="G80" s="3"/>
      <x:c r="H80" s="3"/>
      <x:c r="I80" s="3"/>
    </x:row>
    <x:row r="81" ht="22" customHeight="1">
      <x:c r="C81" s="2"/>
      <x:c r="D81" s="3"/>
      <x:c r="E81" s="3"/>
      <x:c r="F81" s="3"/>
      <x:c r="G81" s="3"/>
      <x:c r="H81" s="3"/>
      <x:c r="I81" s="3"/>
    </x:row>
    <x:row r="82" ht="22" customHeight="1">
      <x:c r="C82" s="2"/>
      <x:c r="D82" s="3"/>
      <x:c r="E82" s="3"/>
      <x:c r="F82" s="3"/>
      <x:c r="G82" s="3"/>
      <x:c r="H82" s="3"/>
      <x:c r="I82" s="3"/>
    </x:row>
    <x:row r="83" ht="22" customHeight="1">
      <x:c r="C83" s="2"/>
      <x:c r="D83" s="3"/>
      <x:c r="E83" s="3"/>
      <x:c r="F83" s="3"/>
      <x:c r="G83" s="3"/>
      <x:c r="H83" s="3"/>
      <x:c r="I83" s="3"/>
    </x:row>
    <x:row r="84" ht="22" customHeight="1">
      <x:c r="C84" s="2"/>
      <x:c r="D84" s="3"/>
      <x:c r="E84" s="3"/>
      <x:c r="F84" s="3"/>
      <x:c r="G84" s="3"/>
      <x:c r="H84" s="3"/>
      <x:c r="I84" s="3"/>
    </x:row>
    <x:row r="85" ht="22" customHeight="1">
      <x:c r="C85" s="2"/>
      <x:c r="D85" s="3"/>
      <x:c r="E85" s="3"/>
      <x:c r="F85" s="3"/>
      <x:c r="G85" s="3"/>
      <x:c r="H85" s="3"/>
      <x:c r="I85" s="3"/>
    </x:row>
    <x:row r="86" ht="22" customHeight="1">
      <x:c r="C86" s="2"/>
      <x:c r="D86" s="3"/>
      <x:c r="E86" s="3"/>
      <x:c r="F86" s="3"/>
      <x:c r="G86" s="3"/>
      <x:c r="H86" s="3"/>
      <x:c r="I86" s="3"/>
    </x:row>
    <x:row r="87" ht="22" customHeight="1">
      <x:c r="C87" s="2"/>
      <x:c r="D87" s="3"/>
      <x:c r="E87" s="3"/>
      <x:c r="F87" s="3"/>
      <x:c r="G87" s="3"/>
      <x:c r="H87" s="3"/>
      <x:c r="I87" s="3"/>
    </x:row>
    <x:row r="88" ht="22" customHeight="1">
      <x:c r="C88" s="2"/>
      <x:c r="D88" s="3"/>
      <x:c r="E88" s="3"/>
      <x:c r="F88" s="3"/>
      <x:c r="G88" s="3"/>
      <x:c r="H88" s="3"/>
      <x:c r="I88" s="3"/>
    </x:row>
    <x:row r="89" ht="22" customHeight="1">
      <x:c r="C89" s="2"/>
      <x:c r="D89" s="3"/>
      <x:c r="E89" s="3"/>
      <x:c r="F89" s="3"/>
      <x:c r="G89" s="3"/>
      <x:c r="H89" s="3"/>
      <x:c r="I89" s="3"/>
    </x:row>
    <x:row r="90" ht="22" customHeight="1">
      <x:c r="C90" s="2"/>
      <x:c r="D90" s="3"/>
      <x:c r="E90" s="3"/>
      <x:c r="F90" s="3"/>
      <x:c r="G90" s="3"/>
      <x:c r="H90" s="3"/>
      <x:c r="I90" s="3"/>
    </x:row>
    <x:row r="91" ht="22" customHeight="1">
      <x:c r="C91" s="2"/>
      <x:c r="D91" s="3"/>
      <x:c r="E91" s="3"/>
      <x:c r="F91" s="3"/>
      <x:c r="G91" s="3"/>
      <x:c r="H91" s="3"/>
      <x:c r="I91" s="3"/>
    </x:row>
    <x:row r="92" ht="22" customHeight="1">
      <x:c r="C92" s="2"/>
      <x:c r="D92" s="3"/>
      <x:c r="E92" s="3"/>
      <x:c r="F92" s="3"/>
      <x:c r="G92" s="3"/>
      <x:c r="H92" s="3"/>
      <x:c r="I92" s="3"/>
    </x:row>
    <x:row r="93" ht="22" customHeight="1">
      <x:c r="C93" s="2"/>
      <x:c r="D93" s="3"/>
      <x:c r="E93" s="3"/>
      <x:c r="F93" s="3"/>
      <x:c r="G93" s="3"/>
      <x:c r="H93" s="3"/>
      <x:c r="I93" s="3"/>
    </x:row>
    <x:row r="94" ht="22" customHeight="1">
      <x:c r="C94" s="2"/>
      <x:c r="D94" s="3"/>
      <x:c r="E94" s="3"/>
      <x:c r="F94" s="3"/>
      <x:c r="G94" s="3"/>
      <x:c r="H94" s="3"/>
      <x:c r="I94" s="3"/>
    </x:row>
    <x:row r="95" ht="22" customHeight="1">
      <x:c r="C95" s="2"/>
      <x:c r="D95" s="3"/>
      <x:c r="E95" s="3"/>
      <x:c r="F95" s="3"/>
      <x:c r="G95" s="3"/>
      <x:c r="H95" s="3"/>
      <x:c r="I95" s="3"/>
    </x:row>
    <x:row r="96" ht="22" customHeight="1">
      <x:c r="C96" s="2"/>
      <x:c r="D96" s="3"/>
      <x:c r="E96" s="3"/>
      <x:c r="F96" s="3"/>
      <x:c r="G96" s="3"/>
      <x:c r="H96" s="3"/>
      <x:c r="I96" s="3"/>
    </x:row>
    <x:row r="97" ht="22" customHeight="1">
      <x:c r="C97" s="2"/>
      <x:c r="D97" s="3"/>
      <x:c r="E97" s="3"/>
      <x:c r="F97" s="3"/>
      <x:c r="G97" s="3"/>
      <x:c r="H97" s="3"/>
      <x:c r="I97" s="3"/>
    </x:row>
    <x:row r="98" ht="22" customHeight="1">
      <x:c r="C98" s="2"/>
      <x:c r="D98" s="3"/>
      <x:c r="E98" s="3"/>
      <x:c r="F98" s="3"/>
      <x:c r="G98" s="3"/>
      <x:c r="H98" s="3"/>
      <x:c r="I98" s="3"/>
    </x:row>
    <x:row r="99" ht="22" customHeight="1">
      <x:c r="C99" s="2"/>
      <x:c r="D99" s="3"/>
      <x:c r="E99" s="3"/>
      <x:c r="F99" s="3"/>
      <x:c r="G99" s="3"/>
      <x:c r="H99" s="3"/>
      <x:c r="I99" s="3"/>
    </x:row>
    <x:row r="100" ht="22" customHeight="1">
      <x:c r="C100" s="2"/>
      <x:c r="D100" s="3"/>
      <x:c r="E100" s="3"/>
      <x:c r="F100" s="3"/>
      <x:c r="G100" s="3"/>
      <x:c r="H100" s="3"/>
      <x:c r="I100" s="3"/>
    </x:row>
  </x:sheetData>
  <x:mergeCells>
    <x:mergeCell ref="C1:I1"/>
    <x:mergeCell ref="C2:I2"/>
    <x:mergeCell ref="C36:I36"/>
    <x:mergeCell ref="C39:I39"/>
    <x:mergeCell ref="C42:I42"/>
  </x:mergeCells>
  <x:pageMargins left="0.7" right="0.7" top="0.75" bottom="0.75" header="0.3" footer="0.3"/>
</x:worksheet>
</file>

<file path=xl/worksheets/sheet2.xml><?xml version="1.0" encoding="utf-8"?>
<x:worksheet xmlns:x="http://schemas.openxmlformats.org/spreadsheetml/2006/main">
  <x:sheetPr>
    <x:tabColor rgb="FFD8C5A3"/>
  </x:sheetPr>
  <x:sheetViews>
    <x:sheetView showGridLines="0" workbookViewId="0">
      <x:pane xSplit="3" ySplit="5" topLeftCell="D6" activePane="bottomRight" state="frozen"/>
    </x:sheetView>
  </x:sheetViews>
  <x:sheetFormatPr defaultRowHeight="15"/>
  <x:cols>
    <x:col min="1" max="1" width="2" hidden="0" customWidth="1"/>
    <x:col min="2" max="2" width="2" hidden="0" customWidth="1"/>
    <x:col min="3" max="3" width="43"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ht="32" customHeight="1">
      <x:c r="C1" s="4" t="str">
        <x:v>Core Molding assumptions</x:v>
      </x:c>
      <x:c r="D1" s="4"/>
      <x:c r="E1" s="4"/>
      <x:c r="F1" s="4"/>
      <x:c r="G1" s="4"/>
      <x:c r="H1" s="4"/>
      <x:c r="I1" s="4"/>
    </x:row>
    <x:row r="2" ht="24" customHeight="1">
      <x:c r="C2" s="5" t="str">
        <x:v>Independent investment case | USD millions unless stated | Prepared October 1, 2026</x:v>
      </x:c>
      <x:c r="D2" s="5"/>
      <x:c r="E2" s="5"/>
      <x:c r="F2" s="5"/>
      <x:c r="G2" s="5"/>
      <x:c r="H2" s="5"/>
      <x:c r="I2" s="5"/>
    </x:row>
    <x:row r="3" ht="22" customHeight="1">
      <x:c r="C3" s="2"/>
      <x:c r="D3" s="2"/>
      <x:c r="E3" s="2"/>
      <x:c r="F3" s="2"/>
      <x:c r="G3" s="2"/>
      <x:c r="H3" s="2"/>
      <x:c r="I3" s="2"/>
    </x:row>
    <x:row r="4" ht="22" customHeight="1">
      <x:c r="C4" s="2" t="str">
        <x:v>Operating case (1 Down, 2 Base, 3 Up)</x:v>
      </x:c>
      <x:c r="D4" s="23" t="n">
        <x:v>2</x:v>
      </x:c>
      <x:c r="E4" s="24" t="str">
        <x:f>CHOOSE(D4,"Downside","Base","Upside")</x:f>
        <x:v>Base</x:v>
      </x:c>
      <x:c r="F4" s="2"/>
      <x:c r="G4" s="2"/>
      <x:c r="H4" s="2"/>
      <x:c r="I4" s="2"/>
    </x:row>
    <x:row r="5" ht="22" customHeight="1">
      <x:c r="C5" s="2"/>
      <x:c r="D5" s="2"/>
      <x:c r="E5" s="2"/>
      <x:c r="F5" s="2"/>
      <x:c r="G5" s="2"/>
      <x:c r="H5" s="2"/>
      <x:c r="I5" s="2"/>
    </x:row>
    <x:row r="6" ht="22" customHeight="1">
      <x:c r="C6" s="2"/>
      <x:c r="D6" s="2"/>
      <x:c r="E6" s="2"/>
      <x:c r="F6" s="2"/>
      <x:c r="G6" s="2"/>
      <x:c r="H6" s="2"/>
      <x:c r="I6" s="2"/>
    </x:row>
    <x:row r="7" ht="22" customHeight="1">
      <x:c r="C7" s="2"/>
      <x:c r="D7" s="3"/>
      <x:c r="E7" s="3"/>
      <x:c r="F7" s="3"/>
      <x:c r="G7" s="3"/>
      <x:c r="H7" s="3"/>
      <x:c r="I7" s="3"/>
    </x:row>
    <x:row r="8" ht="22" customHeight="1">
      <x:c r="C8" s="2" t="str">
        <x:v>Entry EV / LTM adjusted EBITDA</x:v>
      </x:c>
      <x:c r="D8" s="25" t="n">
        <x:v>6</x:v>
      </x:c>
      <x:c r="E8" s="3"/>
      <x:c r="F8" s="3"/>
      <x:c r="G8" s="3"/>
      <x:c r="H8" s="3"/>
      <x:c r="I8" s="3"/>
    </x:row>
    <x:row r="9" ht="22" customHeight="1">
      <x:c r="C9" s="2" t="str">
        <x:v>Senior debt / LTM adjusted EBITDA</x:v>
      </x:c>
      <x:c r="D9" s="25" t="n">
        <x:v>2.5</x:v>
      </x:c>
      <x:c r="E9" s="3"/>
      <x:c r="F9" s="3"/>
      <x:c r="G9" s="3"/>
      <x:c r="H9" s="3"/>
      <x:c r="I9" s="3"/>
    </x:row>
    <x:row r="10" ht="22" customHeight="1">
      <x:c r="C10" s="2" t="str">
        <x:v>Seller note / LTM adjusted EBITDA</x:v>
      </x:c>
      <x:c r="D10" s="25" t="n">
        <x:v>1</x:v>
      </x:c>
      <x:c r="E10" s="3"/>
      <x:c r="F10" s="3"/>
      <x:c r="G10" s="3"/>
      <x:c r="H10" s="3"/>
      <x:c r="I10" s="3"/>
    </x:row>
    <x:row r="11" ht="22" customHeight="1">
      <x:c r="C11" s="2" t="str">
        <x:v>Minimum operating cash</x:v>
      </x:c>
      <x:c r="D11" s="8" t="n">
        <x:v>12</x:v>
      </x:c>
      <x:c r="E11" s="3"/>
      <x:c r="F11" s="3"/>
      <x:c r="G11" s="3"/>
      <x:c r="H11" s="3"/>
      <x:c r="I11" s="3"/>
    </x:row>
    <x:row r="12" ht="22" customHeight="1">
      <x:c r="C12" s="2" t="str">
        <x:v>Transaction fees / entry EV</x:v>
      </x:c>
      <x:c r="D12" s="26" t="n">
        <x:v>0.02</x:v>
      </x:c>
      <x:c r="E12" s="3"/>
      <x:c r="F12" s="3"/>
      <x:c r="G12" s="3"/>
      <x:c r="H12" s="3"/>
      <x:c r="I12" s="3"/>
    </x:row>
    <x:row r="13" ht="22" customHeight="1">
      <x:c r="C13" s="2" t="str">
        <x:v>Financing fees / senior loan</x:v>
      </x:c>
      <x:c r="D13" s="26" t="n">
        <x:v>0.015</x:v>
      </x:c>
      <x:c r="E13" s="3"/>
      <x:c r="F13" s="3"/>
      <x:c r="G13" s="3"/>
      <x:c r="H13" s="3"/>
      <x:c r="I13" s="3"/>
    </x:row>
    <x:row r="14" ht="22" customHeight="1">
      <x:c r="C14" s="2" t="str">
        <x:v>Exit costs / exit enterprise value</x:v>
      </x:c>
      <x:c r="D14" s="26" t="n">
        <x:v>0.01</x:v>
      </x:c>
      <x:c r="E14" s="3"/>
      <x:c r="F14" s="3"/>
      <x:c r="G14" s="3"/>
      <x:c r="H14" s="3"/>
      <x:c r="I14" s="3"/>
    </x:row>
    <x:row r="15" ht="22" customHeight="1">
      <x:c r="C15" s="2" t="str">
        <x:v>Illustrative equity return hurdle</x:v>
      </x:c>
      <x:c r="D15" s="26" t="n">
        <x:v>0.2</x:v>
      </x:c>
      <x:c r="E15" s="3"/>
      <x:c r="F15" s="3"/>
      <x:c r="G15" s="3"/>
      <x:c r="H15" s="3"/>
      <x:c r="I15" s="3"/>
    </x:row>
    <x:row r="16" ht="22" customHeight="1">
      <x:c r="C16" s="2" t="str">
        <x:v>Illustrative entry date</x:v>
      </x:c>
      <x:c r="D16" s="27" t="n">
        <x:v>46295</x:v>
      </x:c>
      <x:c r="E16" s="3"/>
      <x:c r="F16" s="3"/>
      <x:c r="G16" s="3"/>
      <x:c r="H16" s="3"/>
      <x:c r="I16" s="3"/>
    </x:row>
    <x:row r="17" ht="22" customHeight="1">
      <x:c r="C17" s="2"/>
      <x:c r="D17" s="3"/>
      <x:c r="E17" s="3"/>
      <x:c r="F17" s="3"/>
      <x:c r="G17" s="3"/>
      <x:c r="H17" s="3"/>
      <x:c r="I17" s="3"/>
    </x:row>
    <x:row r="18" ht="22" customHeight="1">
      <x:c r="C18" s="2" t="str">
        <x:v>Exit EV / projected adjusted EBITDA</x:v>
      </x:c>
      <x:c r="D18" s="25" t="n">
        <x:v>6</x:v>
      </x:c>
      <x:c r="E18" s="3"/>
      <x:c r="F18" s="3"/>
      <x:c r="G18" s="3"/>
      <x:c r="H18" s="3"/>
      <x:c r="I18" s="3"/>
    </x:row>
    <x:row r="19" ht="42" customHeight="1">
      <x:c r="C19" s="19" t="str">
        <x:v>Transaction price, lending terms, tax rate, cash reserve and forecasts below are analyst assumptions. Multiples are test values, not a valuation opinion, quoted market price or financing commitment.</x:v>
      </x:c>
      <x:c r="D19" s="20"/>
      <x:c r="E19" s="20"/>
      <x:c r="F19" s="20"/>
      <x:c r="G19" s="20"/>
      <x:c r="H19" s="20"/>
      <x:c r="I19" s="20"/>
    </x:row>
    <x:row r="20" ht="22" customHeight="1">
      <x:c r="C20" s="2"/>
      <x:c r="D20" s="3"/>
      <x:c r="E20" s="3"/>
      <x:c r="F20" s="3"/>
      <x:c r="G20" s="3"/>
      <x:c r="H20" s="3"/>
      <x:c r="I20" s="3"/>
    </x:row>
    <x:row r="21" ht="26" customHeight="1">
      <x:c r="C21" s="7" t="str">
        <x:v>Forecast year ending September 30</x:v>
      </x:c>
      <x:c r="D21" s="30" t="n">
        <x:f>DATE(YEAR($D$16)+1,MONTH($D$16),DAY($D$16))</x:f>
        <x:v>46660</x:v>
      </x:c>
      <x:c r="E21" s="30" t="n">
        <x:f>DATE(YEAR($D$16)+2,MONTH($D$16),DAY($D$16))</x:f>
        <x:v>47026</x:v>
      </x:c>
      <x:c r="F21" s="30" t="n">
        <x:f>DATE(YEAR($D$16)+3,MONTH($D$16),DAY($D$16))</x:f>
        <x:v>47391</x:v>
      </x:c>
      <x:c r="G21" s="30" t="n">
        <x:f>DATE(YEAR($D$16)+4,MONTH($D$16),DAY($D$16))</x:f>
        <x:v>47756</x:v>
      </x:c>
      <x:c r="H21" s="30" t="n">
        <x:f>DATE(YEAR($D$16)+5,MONTH($D$16),DAY($D$16))</x:f>
        <x:v>48121</x:v>
      </x:c>
      <x:c r="I21" s="3"/>
    </x:row>
    <x:row r="22" ht="22" customHeight="1">
      <x:c r="C22" s="2" t="str">
        <x:v>Product revenue growth</x:v>
      </x:c>
      <x:c r="D22" s="9" t="n">
        <x:f>INDEX(D45:D47,$D$4)</x:f>
        <x:v>0.08</x:v>
      </x:c>
      <x:c r="E22" s="9" t="n">
        <x:f>INDEX(E45:E47,$D$4)</x:f>
        <x:v>0.1</x:v>
      </x:c>
      <x:c r="F22" s="9" t="n">
        <x:f>INDEX(F45:F47,$D$4)</x:f>
        <x:v>0.08</x:v>
      </x:c>
      <x:c r="G22" s="9" t="n">
        <x:f>INDEX(G45:G47,$D$4)</x:f>
        <x:v>0.06</x:v>
      </x:c>
      <x:c r="H22" s="9" t="n">
        <x:f>INDEX(H45:H47,$D$4)</x:f>
        <x:v>0.04</x:v>
      </x:c>
      <x:c r="I22" s="3"/>
    </x:row>
    <x:row r="23" ht="22" customHeight="1">
      <x:c r="C23" s="2" t="str">
        <x:v>Tooling revenue</x:v>
      </x:c>
      <x:c r="D23" s="3" t="n">
        <x:f>INDEX(D50:D52,$D$4)</x:f>
        <x:v>25</x:v>
      </x:c>
      <x:c r="E23" s="3" t="n">
        <x:f>INDEX(E50:E52,$D$4)</x:f>
        <x:v>22</x:v>
      </x:c>
      <x:c r="F23" s="3" t="n">
        <x:f>INDEX(F50:F52,$D$4)</x:f>
        <x:v>20</x:v>
      </x:c>
      <x:c r="G23" s="3" t="n">
        <x:f>INDEX(G50:G52,$D$4)</x:f>
        <x:v>20</x:v>
      </x:c>
      <x:c r="H23" s="3" t="n">
        <x:f>INDEX(H50:H52,$D$4)</x:f>
        <x:v>20</x:v>
      </x:c>
      <x:c r="I23" s="3"/>
    </x:row>
    <x:row r="24" ht="22" customHeight="1">
      <x:c r="C24" s="2" t="str">
        <x:v>Adjusted EBITDA margin</x:v>
      </x:c>
      <x:c r="D24" s="9" t="n">
        <x:f>INDEX(D55:D57,$D$4)</x:f>
        <x:v>0.115</x:v>
      </x:c>
      <x:c r="E24" s="9" t="n">
        <x:f>INDEX(E55:E57,$D$4)</x:f>
        <x:v>0.12</x:v>
      </x:c>
      <x:c r="F24" s="9" t="n">
        <x:f>INDEX(F55:F57,$D$4)</x:f>
        <x:v>0.125</x:v>
      </x:c>
      <x:c r="G24" s="9" t="n">
        <x:f>INDEX(G55:G57,$D$4)</x:f>
        <x:v>0.1275</x:v>
      </x:c>
      <x:c r="H24" s="9" t="n">
        <x:f>INDEX(H55:H57,$D$4)</x:f>
        <x:v>0.13</x:v>
      </x:c>
      <x:c r="I24" s="3"/>
    </x:row>
    <x:row r="25" ht="22" customHeight="1">
      <x:c r="C25" s="2" t="str">
        <x:v>Capital expenditure</x:v>
      </x:c>
      <x:c r="D25" s="3" t="n">
        <x:f>INDEX(D60:D62,$D$4)</x:f>
        <x:v>26</x:v>
      </x:c>
      <x:c r="E25" s="3" t="n">
        <x:f>INDEX(E60:E62,$D$4)</x:f>
        <x:v>16</x:v>
      </x:c>
      <x:c r="F25" s="3" t="n">
        <x:f>INDEX(F60:F62,$D$4)</x:f>
        <x:v>13</x:v>
      </x:c>
      <x:c r="G25" s="3" t="n">
        <x:f>INDEX(G60:G62,$D$4)</x:f>
        <x:v>13</x:v>
      </x:c>
      <x:c r="H25" s="3" t="n">
        <x:f>INDEX(H60:H62,$D$4)</x:f>
        <x:v>14</x:v>
      </x:c>
      <x:c r="I25" s="3"/>
    </x:row>
    <x:row r="26" ht="22" customHeight="1">
      <x:c r="C26" s="2" t="str">
        <x:v>Operating NWC / revenue</x:v>
      </x:c>
      <x:c r="D26" s="9" t="n">
        <x:f>INDEX(D65:D67,$D$4)</x:f>
        <x:v>0.145</x:v>
      </x:c>
      <x:c r="E26" s="9" t="n">
        <x:f>INDEX(E65:E67,$D$4)</x:f>
        <x:v>0.14</x:v>
      </x:c>
      <x:c r="F26" s="9" t="n">
        <x:f>INDEX(F65:F67,$D$4)</x:f>
        <x:v>0.135</x:v>
      </x:c>
      <x:c r="G26" s="9" t="n">
        <x:f>INDEX(G65:G67,$D$4)</x:f>
        <x:v>0.135</x:v>
      </x:c>
      <x:c r="H26" s="9" t="n">
        <x:f>INDEX(H65:H67,$D$4)</x:f>
        <x:v>0.135</x:v>
      </x:c>
      <x:c r="I26" s="3"/>
    </x:row>
    <x:row r="27" ht="22" customHeight="1">
      <x:c r="C27" s="2" t="str">
        <x:v>Cash restructuring and launch costs</x:v>
      </x:c>
      <x:c r="D27" s="3" t="n">
        <x:f>INDEX(D70:D72,$D$4)</x:f>
        <x:v>2</x:v>
      </x:c>
      <x:c r="E27" s="3" t="n">
        <x:f>INDEX(E70:E72,$D$4)</x:f>
        <x:v>1</x:v>
      </x:c>
      <x:c r="F27" s="3" t="n">
        <x:f>INDEX(F70:F72,$D$4)</x:f>
        <x:v>0</x:v>
      </x:c>
      <x:c r="G27" s="3" t="n">
        <x:f>INDEX(G70:G72,$D$4)</x:f>
        <x:v>0</x:v>
      </x:c>
      <x:c r="H27" s="3" t="n">
        <x:f>INDEX(H70:H72,$D$4)</x:f>
        <x:v>0</x:v>
      </x:c>
      <x:c r="I27" s="3"/>
    </x:row>
    <x:row r="28" ht="22" customHeight="1">
      <x:c r="C28" s="2"/>
      <x:c r="D28" s="3"/>
      <x:c r="E28" s="3"/>
      <x:c r="F28" s="3"/>
      <x:c r="G28" s="3"/>
      <x:c r="H28" s="3"/>
      <x:c r="I28" s="3"/>
    </x:row>
    <x:row r="29" ht="22" customHeight="1">
      <x:c r="C29" s="2"/>
      <x:c r="D29" s="3"/>
      <x:c r="E29" s="3"/>
      <x:c r="F29" s="3"/>
      <x:c r="G29" s="3"/>
      <x:c r="H29" s="3"/>
      <x:c r="I29" s="3"/>
    </x:row>
    <x:row r="30" ht="22" customHeight="1">
      <x:c r="C30" s="2" t="str">
        <x:v>Replacement cash compensation / revenue</x:v>
      </x:c>
      <x:c r="D30" s="31" t="n">
        <x:v>0.0075</x:v>
      </x:c>
      <x:c r="E30" s="31" t="n">
        <x:v>0.0075</x:v>
      </x:c>
      <x:c r="F30" s="31" t="n">
        <x:v>0.0075</x:v>
      </x:c>
      <x:c r="G30" s="31" t="n">
        <x:v>0.0075</x:v>
      </x:c>
      <x:c r="H30" s="31" t="n">
        <x:v>0.0075</x:v>
      </x:c>
      <x:c r="I30" s="3"/>
    </x:row>
    <x:row r="31" ht="22" customHeight="1">
      <x:c r="C31" s="2" t="str">
        <x:v>D&amp;A / revenue</x:v>
      </x:c>
      <x:c r="D31" s="26" t="n">
        <x:v>0.05</x:v>
      </x:c>
      <x:c r="E31" s="26" t="n">
        <x:v>0.05</x:v>
      </x:c>
      <x:c r="F31" s="26" t="n">
        <x:v>0.05</x:v>
      </x:c>
      <x:c r="G31" s="26" t="n">
        <x:v>0.05</x:v>
      </x:c>
      <x:c r="H31" s="26" t="n">
        <x:v>0.05</x:v>
      </x:c>
      <x:c r="I31" s="3"/>
    </x:row>
    <x:row r="32" ht="22" customHeight="1">
      <x:c r="C32" s="2" t="str">
        <x:v>Cash tax rate</x:v>
      </x:c>
      <x:c r="D32" s="26" t="n">
        <x:v>0.26</x:v>
      </x:c>
      <x:c r="E32" s="26" t="n">
        <x:v>0.26</x:v>
      </x:c>
      <x:c r="F32" s="26" t="n">
        <x:v>0.26</x:v>
      </x:c>
      <x:c r="G32" s="26" t="n">
        <x:v>0.26</x:v>
      </x:c>
      <x:c r="H32" s="26" t="n">
        <x:v>0.26</x:v>
      </x:c>
      <x:c r="I32" s="3"/>
    </x:row>
    <x:row r="33" ht="22" customHeight="1">
      <x:c r="C33" s="2" t="str">
        <x:v>Senior cash interest rate</x:v>
      </x:c>
      <x:c r="D33" s="26" t="n">
        <x:v>0.08</x:v>
      </x:c>
      <x:c r="E33" s="26" t="n">
        <x:v>0.08</x:v>
      </x:c>
      <x:c r="F33" s="26" t="n">
        <x:v>0.08</x:v>
      </x:c>
      <x:c r="G33" s="26" t="n">
        <x:v>0.08</x:v>
      </x:c>
      <x:c r="H33" s="26" t="n">
        <x:v>0.08</x:v>
      </x:c>
      <x:c r="I33" s="3"/>
    </x:row>
    <x:row r="34" ht="22" customHeight="1">
      <x:c r="C34" s="2" t="str">
        <x:v>Senior annual amortization / original loan</x:v>
      </x:c>
      <x:c r="D34" s="26" t="n">
        <x:v>0.05</x:v>
      </x:c>
      <x:c r="E34" s="26" t="n">
        <x:v>0.05</x:v>
      </x:c>
      <x:c r="F34" s="26" t="n">
        <x:v>0.05</x:v>
      </x:c>
      <x:c r="G34" s="26" t="n">
        <x:v>0.05</x:v>
      </x:c>
      <x:c r="H34" s="26" t="n">
        <x:v>0.05</x:v>
      </x:c>
      <x:c r="I34" s="3"/>
    </x:row>
    <x:row r="35" ht="22" customHeight="1">
      <x:c r="C35" s="2" t="str">
        <x:v>Seller note cash interest rate</x:v>
      </x:c>
      <x:c r="D35" s="26" t="n">
        <x:v>0.04</x:v>
      </x:c>
      <x:c r="E35" s="26" t="n">
        <x:v>0.04</x:v>
      </x:c>
      <x:c r="F35" s="26" t="n">
        <x:v>0.04</x:v>
      </x:c>
      <x:c r="G35" s="26" t="n">
        <x:v>0.04</x:v>
      </x:c>
      <x:c r="H35" s="26" t="n">
        <x:v>0.04</x:v>
      </x:c>
      <x:c r="I35" s="3"/>
    </x:row>
    <x:row r="36" ht="22" customHeight="1">
      <x:c r="C36" s="2" t="str">
        <x:v>Seller note PIK rate</x:v>
      </x:c>
      <x:c r="D36" s="26" t="n">
        <x:v>0.04</x:v>
      </x:c>
      <x:c r="E36" s="26" t="n">
        <x:v>0.04</x:v>
      </x:c>
      <x:c r="F36" s="26" t="n">
        <x:v>0.04</x:v>
      </x:c>
      <x:c r="G36" s="26" t="n">
        <x:v>0.04</x:v>
      </x:c>
      <x:c r="H36" s="26" t="n">
        <x:v>0.04</x:v>
      </x:c>
      <x:c r="I36" s="3"/>
    </x:row>
    <x:row r="37" ht="22" customHeight="1">
      <x:c r="C37" s="2"/>
      <x:c r="D37" s="3"/>
      <x:c r="E37" s="3"/>
      <x:c r="F37" s="3"/>
      <x:c r="G37" s="3"/>
      <x:c r="H37" s="3"/>
      <x:c r="I37" s="3"/>
    </x:row>
    <x:row r="38" ht="42" customHeight="1">
      <x:c r="C38" s="19" t="str">
        <x:v>Blue cells are editable assumptions or sourced historical inputs. Green formulas link sheets. Base case is selected. All annual drivers can be changed separately. PIK interest compounds and is paid at exit.</x:v>
      </x:c>
      <x:c r="D38" s="20"/>
      <x:c r="E38" s="20"/>
      <x:c r="F38" s="20"/>
      <x:c r="G38" s="20"/>
      <x:c r="H38" s="20"/>
      <x:c r="I38" s="20"/>
    </x:row>
    <x:row r="39" ht="22" customHeight="1">
      <x:c r="C39" s="2"/>
      <x:c r="D39" s="3"/>
      <x:c r="E39" s="3"/>
      <x:c r="F39" s="3"/>
      <x:c r="G39" s="3"/>
      <x:c r="H39" s="3"/>
      <x:c r="I39" s="3"/>
    </x:row>
    <x:row r="40" ht="22" customHeight="1">
      <x:c r="C40" s="2"/>
      <x:c r="D40" s="3"/>
      <x:c r="E40" s="3"/>
      <x:c r="F40" s="3"/>
      <x:c r="G40" s="3"/>
      <x:c r="H40" s="3"/>
      <x:c r="I40" s="3"/>
    </x:row>
    <x:row r="41" ht="22" customHeight="1">
      <x:c r="C41" s="2"/>
      <x:c r="D41" s="3"/>
      <x:c r="E41" s="3"/>
      <x:c r="F41" s="3"/>
      <x:c r="G41" s="3"/>
      <x:c r="H41" s="3"/>
      <x:c r="I41" s="3"/>
    </x:row>
    <x:row r="42" ht="22" customHeight="1">
      <x:c r="C42" s="2"/>
      <x:c r="D42" s="3"/>
      <x:c r="E42" s="3"/>
      <x:c r="F42" s="3"/>
      <x:c r="G42" s="3"/>
      <x:c r="H42" s="3"/>
      <x:c r="I42" s="3"/>
    </x:row>
    <x:row r="43" ht="22" customHeight="1">
      <x:c r="C43" s="2"/>
      <x:c r="D43" s="3"/>
      <x:c r="E43" s="3"/>
      <x:c r="F43" s="3"/>
      <x:c r="G43" s="3"/>
      <x:c r="H43" s="3"/>
      <x:c r="I43" s="3"/>
    </x:row>
    <x:row r="44" ht="24" customHeight="1">
      <x:c r="C44" s="7" t="str">
        <x:v>Product revenue growth</x:v>
      </x:c>
      <x:c r="D44" s="15"/>
      <x:c r="E44" s="15"/>
      <x:c r="F44" s="15"/>
      <x:c r="G44" s="15"/>
      <x:c r="H44" s="15"/>
      <x:c r="I44" s="3"/>
    </x:row>
    <x:row r="45" ht="22" customHeight="1">
      <x:c r="C45" s="2" t="str">
        <x:v>Downside</x:v>
      </x:c>
      <x:c r="D45" s="26" t="n">
        <x:v>-0.05</x:v>
      </x:c>
      <x:c r="E45" s="26" t="n">
        <x:v>0.02</x:v>
      </x:c>
      <x:c r="F45" s="26" t="n">
        <x:v>0.04</x:v>
      </x:c>
      <x:c r="G45" s="26" t="n">
        <x:v>0.04</x:v>
      </x:c>
      <x:c r="H45" s="26" t="n">
        <x:v>0.03</x:v>
      </x:c>
      <x:c r="I45" s="3"/>
    </x:row>
    <x:row r="46" ht="22" customHeight="1">
      <x:c r="C46" s="2" t="str">
        <x:v>Base</x:v>
      </x:c>
      <x:c r="D46" s="26" t="n">
        <x:v>0.08</x:v>
      </x:c>
      <x:c r="E46" s="26" t="n">
        <x:v>0.1</x:v>
      </x:c>
      <x:c r="F46" s="26" t="n">
        <x:v>0.08</x:v>
      </x:c>
      <x:c r="G46" s="26" t="n">
        <x:v>0.06</x:v>
      </x:c>
      <x:c r="H46" s="26" t="n">
        <x:v>0.04</x:v>
      </x:c>
      <x:c r="I46" s="3"/>
    </x:row>
    <x:row r="47" ht="22" customHeight="1">
      <x:c r="C47" s="2" t="str">
        <x:v>Upside</x:v>
      </x:c>
      <x:c r="D47" s="26" t="n">
        <x:v>0.12</x:v>
      </x:c>
      <x:c r="E47" s="26" t="n">
        <x:v>0.12</x:v>
      </x:c>
      <x:c r="F47" s="26" t="n">
        <x:v>0.1</x:v>
      </x:c>
      <x:c r="G47" s="26" t="n">
        <x:v>0.08</x:v>
      </x:c>
      <x:c r="H47" s="26" t="n">
        <x:v>0.05</x:v>
      </x:c>
      <x:c r="I47" s="3"/>
    </x:row>
    <x:row r="48" ht="22" customHeight="1">
      <x:c r="C48" s="2"/>
      <x:c r="D48" s="3"/>
      <x:c r="E48" s="3"/>
      <x:c r="F48" s="3"/>
      <x:c r="G48" s="3"/>
      <x:c r="H48" s="3"/>
      <x:c r="I48" s="3"/>
    </x:row>
    <x:row r="49" ht="24" customHeight="1">
      <x:c r="C49" s="7" t="str">
        <x:v>Tooling revenue</x:v>
      </x:c>
      <x:c r="D49" s="15"/>
      <x:c r="E49" s="15"/>
      <x:c r="F49" s="15"/>
      <x:c r="G49" s="15"/>
      <x:c r="H49" s="15"/>
      <x:c r="I49" s="3"/>
    </x:row>
    <x:row r="50" ht="22" customHeight="1">
      <x:c r="C50" s="2" t="str">
        <x:v>Downside</x:v>
      </x:c>
      <x:c r="D50" s="8" t="n">
        <x:v>18</x:v>
      </x:c>
      <x:c r="E50" s="8" t="n">
        <x:v>16</x:v>
      </x:c>
      <x:c r="F50" s="8" t="n">
        <x:v>16</x:v>
      </x:c>
      <x:c r="G50" s="8" t="n">
        <x:v>16</x:v>
      </x:c>
      <x:c r="H50" s="8" t="n">
        <x:v>16</x:v>
      </x:c>
      <x:c r="I50" s="3"/>
    </x:row>
    <x:row r="51" ht="22" customHeight="1">
      <x:c r="C51" s="2" t="str">
        <x:v>Base</x:v>
      </x:c>
      <x:c r="D51" s="8" t="n">
        <x:v>25</x:v>
      </x:c>
      <x:c r="E51" s="8" t="n">
        <x:v>22</x:v>
      </x:c>
      <x:c r="F51" s="8" t="n">
        <x:v>20</x:v>
      </x:c>
      <x:c r="G51" s="8" t="n">
        <x:v>20</x:v>
      </x:c>
      <x:c r="H51" s="8" t="n">
        <x:v>20</x:v>
      </x:c>
      <x:c r="I51" s="3"/>
    </x:row>
    <x:row r="52" ht="22" customHeight="1">
      <x:c r="C52" s="2" t="str">
        <x:v>Upside</x:v>
      </x:c>
      <x:c r="D52" s="8" t="n">
        <x:v>30</x:v>
      </x:c>
      <x:c r="E52" s="8" t="n">
        <x:v>27</x:v>
      </x:c>
      <x:c r="F52" s="8" t="n">
        <x:v>25</x:v>
      </x:c>
      <x:c r="G52" s="8" t="n">
        <x:v>25</x:v>
      </x:c>
      <x:c r="H52" s="8" t="n">
        <x:v>25</x:v>
      </x:c>
      <x:c r="I52" s="3"/>
    </x:row>
    <x:row r="53" ht="22" customHeight="1">
      <x:c r="C53" s="2"/>
      <x:c r="D53" s="3"/>
      <x:c r="E53" s="3"/>
      <x:c r="F53" s="3"/>
      <x:c r="G53" s="3"/>
      <x:c r="H53" s="3"/>
      <x:c r="I53" s="3"/>
    </x:row>
    <x:row r="54" ht="24" customHeight="1">
      <x:c r="C54" s="7" t="str">
        <x:v>Adjusted EBITDA margin</x:v>
      </x:c>
      <x:c r="D54" s="15"/>
      <x:c r="E54" s="15"/>
      <x:c r="F54" s="15"/>
      <x:c r="G54" s="15"/>
      <x:c r="H54" s="15"/>
      <x:c r="I54" s="3"/>
    </x:row>
    <x:row r="55" ht="22" customHeight="1">
      <x:c r="C55" s="2" t="str">
        <x:v>Downside</x:v>
      </x:c>
      <x:c r="D55" s="26" t="n">
        <x:v>0.095</x:v>
      </x:c>
      <x:c r="E55" s="26" t="n">
        <x:v>0.1</x:v>
      </x:c>
      <x:c r="F55" s="26" t="n">
        <x:v>0.105</x:v>
      </x:c>
      <x:c r="G55" s="26" t="n">
        <x:v>0.108</x:v>
      </x:c>
      <x:c r="H55" s="26" t="n">
        <x:v>0.11</x:v>
      </x:c>
      <x:c r="I55" s="3"/>
    </x:row>
    <x:row r="56" ht="22" customHeight="1">
      <x:c r="C56" s="2" t="str">
        <x:v>Base</x:v>
      </x:c>
      <x:c r="D56" s="26" t="n">
        <x:v>0.115</x:v>
      </x:c>
      <x:c r="E56" s="26" t="n">
        <x:v>0.12</x:v>
      </x:c>
      <x:c r="F56" s="26" t="n">
        <x:v>0.125</x:v>
      </x:c>
      <x:c r="G56" s="26" t="n">
        <x:v>0.1275</x:v>
      </x:c>
      <x:c r="H56" s="26" t="n">
        <x:v>0.13</x:v>
      </x:c>
      <x:c r="I56" s="3"/>
    </x:row>
    <x:row r="57" ht="22" customHeight="1">
      <x:c r="C57" s="2" t="str">
        <x:v>Upside</x:v>
      </x:c>
      <x:c r="D57" s="26" t="n">
        <x:v>0.125</x:v>
      </x:c>
      <x:c r="E57" s="26" t="n">
        <x:v>0.13</x:v>
      </x:c>
      <x:c r="F57" s="26" t="n">
        <x:v>0.135</x:v>
      </x:c>
      <x:c r="G57" s="26" t="n">
        <x:v>0.1375</x:v>
      </x:c>
      <x:c r="H57" s="26" t="n">
        <x:v>0.14</x:v>
      </x:c>
      <x:c r="I57" s="3"/>
    </x:row>
    <x:row r="58" ht="22" customHeight="1">
      <x:c r="C58" s="2"/>
      <x:c r="D58" s="3"/>
      <x:c r="E58" s="3"/>
      <x:c r="F58" s="3"/>
      <x:c r="G58" s="3"/>
      <x:c r="H58" s="3"/>
      <x:c r="I58" s="3"/>
    </x:row>
    <x:row r="59" ht="24" customHeight="1">
      <x:c r="C59" s="7" t="str">
        <x:v>Capital expenditure</x:v>
      </x:c>
      <x:c r="D59" s="15"/>
      <x:c r="E59" s="15"/>
      <x:c r="F59" s="15"/>
      <x:c r="G59" s="15"/>
      <x:c r="H59" s="15"/>
      <x:c r="I59" s="3"/>
    </x:row>
    <x:row r="60" ht="22" customHeight="1">
      <x:c r="C60" s="2" t="str">
        <x:v>Downside</x:v>
      </x:c>
      <x:c r="D60" s="8" t="n">
        <x:v>28</x:v>
      </x:c>
      <x:c r="E60" s="8" t="n">
        <x:v>18</x:v>
      </x:c>
      <x:c r="F60" s="8" t="n">
        <x:v>14</x:v>
      </x:c>
      <x:c r="G60" s="8" t="n">
        <x:v>14</x:v>
      </x:c>
      <x:c r="H60" s="8" t="n">
        <x:v>15</x:v>
      </x:c>
      <x:c r="I60" s="3"/>
    </x:row>
    <x:row r="61" ht="22" customHeight="1">
      <x:c r="C61" s="2" t="str">
        <x:v>Base</x:v>
      </x:c>
      <x:c r="D61" s="8" t="n">
        <x:v>26</x:v>
      </x:c>
      <x:c r="E61" s="8" t="n">
        <x:v>16</x:v>
      </x:c>
      <x:c r="F61" s="8" t="n">
        <x:v>13</x:v>
      </x:c>
      <x:c r="G61" s="8" t="n">
        <x:v>13</x:v>
      </x:c>
      <x:c r="H61" s="8" t="n">
        <x:v>14</x:v>
      </x:c>
      <x:c r="I61" s="3"/>
    </x:row>
    <x:row r="62" ht="22" customHeight="1">
      <x:c r="C62" s="2" t="str">
        <x:v>Upside</x:v>
      </x:c>
      <x:c r="D62" s="8" t="n">
        <x:v>28</x:v>
      </x:c>
      <x:c r="E62" s="8" t="n">
        <x:v>18</x:v>
      </x:c>
      <x:c r="F62" s="8" t="n">
        <x:v>15</x:v>
      </x:c>
      <x:c r="G62" s="8" t="n">
        <x:v>15</x:v>
      </x:c>
      <x:c r="H62" s="8" t="n">
        <x:v>16</x:v>
      </x:c>
      <x:c r="I62" s="3"/>
    </x:row>
    <x:row r="63" ht="22" customHeight="1">
      <x:c r="C63" s="2"/>
      <x:c r="D63" s="3"/>
      <x:c r="E63" s="3"/>
      <x:c r="F63" s="3"/>
      <x:c r="G63" s="3"/>
      <x:c r="H63" s="3"/>
      <x:c r="I63" s="3"/>
    </x:row>
    <x:row r="64" ht="24" customHeight="1">
      <x:c r="C64" s="7" t="str">
        <x:v>Operating NWC / revenue</x:v>
      </x:c>
      <x:c r="D64" s="15"/>
      <x:c r="E64" s="15"/>
      <x:c r="F64" s="15"/>
      <x:c r="G64" s="15"/>
      <x:c r="H64" s="15"/>
      <x:c r="I64" s="3"/>
    </x:row>
    <x:row r="65" ht="22" customHeight="1">
      <x:c r="C65" s="2" t="str">
        <x:v>Downside</x:v>
      </x:c>
      <x:c r="D65" s="26" t="n">
        <x:v>0.155</x:v>
      </x:c>
      <x:c r="E65" s="26" t="n">
        <x:v>0.155</x:v>
      </x:c>
      <x:c r="F65" s="26" t="n">
        <x:v>0.15</x:v>
      </x:c>
      <x:c r="G65" s="26" t="n">
        <x:v>0.15</x:v>
      </x:c>
      <x:c r="H65" s="26" t="n">
        <x:v>0.15</x:v>
      </x:c>
      <x:c r="I65" s="3"/>
    </x:row>
    <x:row r="66" ht="22" customHeight="1">
      <x:c r="C66" s="2" t="str">
        <x:v>Base</x:v>
      </x:c>
      <x:c r="D66" s="26" t="n">
        <x:v>0.145</x:v>
      </x:c>
      <x:c r="E66" s="26" t="n">
        <x:v>0.14</x:v>
      </x:c>
      <x:c r="F66" s="26" t="n">
        <x:v>0.135</x:v>
      </x:c>
      <x:c r="G66" s="26" t="n">
        <x:v>0.135</x:v>
      </x:c>
      <x:c r="H66" s="26" t="n">
        <x:v>0.135</x:v>
      </x:c>
      <x:c r="I66" s="3"/>
    </x:row>
    <x:row r="67" ht="22" customHeight="1">
      <x:c r="C67" s="2" t="str">
        <x:v>Upside</x:v>
      </x:c>
      <x:c r="D67" s="26" t="n">
        <x:v>0.14</x:v>
      </x:c>
      <x:c r="E67" s="26" t="n">
        <x:v>0.135</x:v>
      </x:c>
      <x:c r="F67" s="26" t="n">
        <x:v>0.13</x:v>
      </x:c>
      <x:c r="G67" s="26" t="n">
        <x:v>0.13</x:v>
      </x:c>
      <x:c r="H67" s="26" t="n">
        <x:v>0.13</x:v>
      </x:c>
      <x:c r="I67" s="3"/>
    </x:row>
    <x:row r="68" ht="22" customHeight="1">
      <x:c r="C68" s="2"/>
      <x:c r="D68" s="3"/>
      <x:c r="E68" s="3"/>
      <x:c r="F68" s="3"/>
      <x:c r="G68" s="3"/>
      <x:c r="H68" s="3"/>
      <x:c r="I68" s="3"/>
    </x:row>
    <x:row r="69" ht="24" customHeight="1">
      <x:c r="C69" s="7" t="str">
        <x:v>Cash restructuring and launch costs</x:v>
      </x:c>
      <x:c r="D69" s="15"/>
      <x:c r="E69" s="15"/>
      <x:c r="F69" s="15"/>
      <x:c r="G69" s="15"/>
      <x:c r="H69" s="15"/>
      <x:c r="I69" s="3"/>
    </x:row>
    <x:row r="70" ht="22" customHeight="1">
      <x:c r="C70" s="2" t="str">
        <x:v>Downside</x:v>
      </x:c>
      <x:c r="D70" s="8" t="n">
        <x:v>3</x:v>
      </x:c>
      <x:c r="E70" s="8" t="n">
        <x:v>2</x:v>
      </x:c>
      <x:c r="F70" s="8" t="n">
        <x:v>1</x:v>
      </x:c>
      <x:c r="G70" s="8" t="n">
        <x:v>0</x:v>
      </x:c>
      <x:c r="H70" s="8" t="n">
        <x:v>0</x:v>
      </x:c>
      <x:c r="I70" s="3"/>
    </x:row>
    <x:row r="71" ht="22" customHeight="1">
      <x:c r="C71" s="2" t="str">
        <x:v>Base</x:v>
      </x:c>
      <x:c r="D71" s="8" t="n">
        <x:v>2</x:v>
      </x:c>
      <x:c r="E71" s="8" t="n">
        <x:v>1</x:v>
      </x:c>
      <x:c r="F71" s="8" t="n">
        <x:v>0</x:v>
      </x:c>
      <x:c r="G71" s="8" t="n">
        <x:v>0</x:v>
      </x:c>
      <x:c r="H71" s="8" t="n">
        <x:v>0</x:v>
      </x:c>
      <x:c r="I71" s="3"/>
    </x:row>
    <x:row r="72" ht="22" customHeight="1">
      <x:c r="C72" s="2" t="str">
        <x:v>Upside</x:v>
      </x:c>
      <x:c r="D72" s="8" t="n">
        <x:v>1.5</x:v>
      </x:c>
      <x:c r="E72" s="8" t="n">
        <x:v>0.5</x:v>
      </x:c>
      <x:c r="F72" s="8" t="n">
        <x:v>0</x:v>
      </x:c>
      <x:c r="G72" s="8" t="n">
        <x:v>0</x:v>
      </x:c>
      <x:c r="H72" s="8" t="n">
        <x:v>0</x:v>
      </x:c>
      <x:c r="I72" s="3"/>
    </x:row>
    <x:row r="73" ht="22" customHeight="1">
      <x:c r="C73" s="2"/>
      <x:c r="D73" s="3"/>
      <x:c r="E73" s="3"/>
      <x:c r="F73" s="3"/>
      <x:c r="G73" s="3"/>
      <x:c r="H73" s="3"/>
      <x:c r="I73" s="3"/>
    </x:row>
    <x:row r="74" ht="22" customHeight="1">
      <x:c r="C74" s="2"/>
      <x:c r="D74" s="3"/>
      <x:c r="E74" s="3"/>
      <x:c r="F74" s="3"/>
      <x:c r="G74" s="3"/>
      <x:c r="H74" s="3"/>
      <x:c r="I74" s="3"/>
    </x:row>
    <x:row r="75" ht="48" customHeight="1">
      <x:c r="C75" s="19" t="str">
        <x:v>Forecast rationale: separate tooling from production because customer acceptance dates make tooling uneven. First-year capex remains elevated during the Mexico expansion. NWC stays near the June 2026 ratio before modest base-case improvement.</x:v>
      </x:c>
      <x:c r="D75" s="20"/>
      <x:c r="E75" s="20"/>
      <x:c r="F75" s="20"/>
      <x:c r="G75" s="20"/>
      <x:c r="H75" s="20"/>
      <x:c r="I75" s="20"/>
    </x:row>
    <x:row r="76" ht="22" customHeight="1">
      <x:c r="C76" s="2"/>
      <x:c r="D76" s="3"/>
      <x:c r="E76" s="3"/>
      <x:c r="F76" s="3"/>
      <x:c r="G76" s="3"/>
      <x:c r="H76" s="3"/>
      <x:c r="I76" s="3"/>
    </x:row>
    <x:row r="77" ht="22" customHeight="1">
      <x:c r="C77" s="2"/>
      <x:c r="D77" s="3"/>
      <x:c r="E77" s="3"/>
      <x:c r="F77" s="3"/>
      <x:c r="G77" s="3"/>
      <x:c r="H77" s="3"/>
      <x:c r="I77" s="3"/>
    </x:row>
    <x:row r="78" ht="45" customHeight="1">
      <x:c r="C78" s="19" t="str">
        <x:v>Adjusted EBITDA is converted to a cash-oriented earnings proxy by deducting replacement cash compensation and modeled launch costs. No ESOP tax benefit, interest-deduction limit, NOL benefit, fund carry or management fee is modeled.</x:v>
      </x:c>
      <x:c r="D78" s="20"/>
      <x:c r="E78" s="20"/>
      <x:c r="F78" s="20"/>
      <x:c r="G78" s="20"/>
      <x:c r="H78" s="20"/>
      <x:c r="I78" s="20"/>
    </x:row>
    <x:row r="79" ht="22" customHeight="1">
      <x:c r="C79" s="2"/>
      <x:c r="D79" s="3"/>
      <x:c r="E79" s="3"/>
      <x:c r="F79" s="3"/>
      <x:c r="G79" s="3"/>
      <x:c r="H79" s="3"/>
      <x:c r="I79" s="3"/>
    </x:row>
    <x:row r="80" ht="22" customHeight="1">
      <x:c r="C80" s="2"/>
      <x:c r="D80" s="3"/>
      <x:c r="E80" s="3"/>
      <x:c r="F80" s="3"/>
      <x:c r="G80" s="3"/>
      <x:c r="H80" s="3"/>
      <x:c r="I80" s="3"/>
    </x:row>
    <x:row r="81" ht="22" customHeight="1">
      <x:c r="C81" s="2"/>
      <x:c r="D81" s="3"/>
      <x:c r="E81" s="3"/>
      <x:c r="F81" s="3"/>
      <x:c r="G81" s="3"/>
      <x:c r="H81" s="3"/>
      <x:c r="I81" s="3"/>
    </x:row>
    <x:row r="82" ht="22" customHeight="1">
      <x:c r="C82" s="2"/>
      <x:c r="D82" s="3"/>
      <x:c r="E82" s="3"/>
      <x:c r="F82" s="3"/>
      <x:c r="G82" s="3"/>
      <x:c r="H82" s="3"/>
      <x:c r="I82" s="3"/>
    </x:row>
    <x:row r="83" ht="22" customHeight="1">
      <x:c r="C83" s="2"/>
      <x:c r="D83" s="3"/>
      <x:c r="E83" s="3"/>
      <x:c r="F83" s="3"/>
      <x:c r="G83" s="3"/>
      <x:c r="H83" s="3"/>
      <x:c r="I83" s="3"/>
    </x:row>
    <x:row r="84" ht="22" customHeight="1">
      <x:c r="C84" s="2"/>
      <x:c r="D84" s="3"/>
      <x:c r="E84" s="3"/>
      <x:c r="F84" s="3"/>
      <x:c r="G84" s="3"/>
      <x:c r="H84" s="3"/>
      <x:c r="I84" s="3"/>
    </x:row>
    <x:row r="85" ht="22" customHeight="1">
      <x:c r="C85" s="2"/>
      <x:c r="D85" s="3"/>
      <x:c r="E85" s="3"/>
      <x:c r="F85" s="3"/>
      <x:c r="G85" s="3"/>
      <x:c r="H85" s="3"/>
      <x:c r="I85" s="3"/>
    </x:row>
    <x:row r="86" ht="22" customHeight="1">
      <x:c r="C86" s="2"/>
      <x:c r="D86" s="3"/>
      <x:c r="E86" s="3"/>
      <x:c r="F86" s="3"/>
      <x:c r="G86" s="3"/>
      <x:c r="H86" s="3"/>
      <x:c r="I86" s="3"/>
    </x:row>
    <x:row r="87" ht="22" customHeight="1">
      <x:c r="C87" s="2"/>
      <x:c r="D87" s="3"/>
      <x:c r="E87" s="3"/>
      <x:c r="F87" s="3"/>
      <x:c r="G87" s="3"/>
      <x:c r="H87" s="3"/>
      <x:c r="I87" s="3"/>
    </x:row>
    <x:row r="88" ht="22" customHeight="1">
      <x:c r="C88" s="2"/>
      <x:c r="D88" s="3"/>
      <x:c r="E88" s="3"/>
      <x:c r="F88" s="3"/>
      <x:c r="G88" s="3"/>
      <x:c r="H88" s="3"/>
      <x:c r="I88" s="3"/>
    </x:row>
    <x:row r="89" ht="22" customHeight="1">
      <x:c r="C89" s="2"/>
      <x:c r="D89" s="3"/>
      <x:c r="E89" s="3"/>
      <x:c r="F89" s="3"/>
      <x:c r="G89" s="3"/>
      <x:c r="H89" s="3"/>
      <x:c r="I89" s="3"/>
    </x:row>
    <x:row r="90" ht="22" customHeight="1">
      <x:c r="C90" s="2"/>
      <x:c r="D90" s="3"/>
      <x:c r="E90" s="3"/>
      <x:c r="F90" s="3"/>
      <x:c r="G90" s="3"/>
      <x:c r="H90" s="3"/>
      <x:c r="I90" s="3"/>
    </x:row>
    <x:row r="91" ht="22" customHeight="1">
      <x:c r="C91" s="2"/>
      <x:c r="D91" s="3"/>
      <x:c r="E91" s="3"/>
      <x:c r="F91" s="3"/>
      <x:c r="G91" s="3"/>
      <x:c r="H91" s="3"/>
      <x:c r="I91" s="3"/>
    </x:row>
    <x:row r="92" ht="22" customHeight="1">
      <x:c r="C92" s="2"/>
      <x:c r="D92" s="3"/>
      <x:c r="E92" s="3"/>
      <x:c r="F92" s="3"/>
      <x:c r="G92" s="3"/>
      <x:c r="H92" s="3"/>
      <x:c r="I92" s="3"/>
    </x:row>
    <x:row r="93" ht="22" customHeight="1">
      <x:c r="C93" s="2"/>
      <x:c r="D93" s="3"/>
      <x:c r="E93" s="3"/>
      <x:c r="F93" s="3"/>
      <x:c r="G93" s="3"/>
      <x:c r="H93" s="3"/>
      <x:c r="I93" s="3"/>
    </x:row>
    <x:row r="94" ht="22" customHeight="1">
      <x:c r="C94" s="2"/>
      <x:c r="D94" s="3"/>
      <x:c r="E94" s="3"/>
      <x:c r="F94" s="3"/>
      <x:c r="G94" s="3"/>
      <x:c r="H94" s="3"/>
      <x:c r="I94" s="3"/>
    </x:row>
    <x:row r="95" ht="22" customHeight="1">
      <x:c r="C95" s="2"/>
      <x:c r="D95" s="3"/>
      <x:c r="E95" s="3"/>
      <x:c r="F95" s="3"/>
      <x:c r="G95" s="3"/>
      <x:c r="H95" s="3"/>
      <x:c r="I95" s="3"/>
    </x:row>
    <x:row r="96" ht="22" customHeight="1">
      <x:c r="C96" s="2"/>
      <x:c r="D96" s="3"/>
      <x:c r="E96" s="3"/>
      <x:c r="F96" s="3"/>
      <x:c r="G96" s="3"/>
      <x:c r="H96" s="3"/>
      <x:c r="I96" s="3"/>
    </x:row>
    <x:row r="97" ht="22" customHeight="1">
      <x:c r="C97" s="2"/>
      <x:c r="D97" s="3"/>
      <x:c r="E97" s="3"/>
      <x:c r="F97" s="3"/>
      <x:c r="G97" s="3"/>
      <x:c r="H97" s="3"/>
      <x:c r="I97" s="3"/>
    </x:row>
    <x:row r="98" ht="22" customHeight="1">
      <x:c r="C98" s="2"/>
      <x:c r="D98" s="3"/>
      <x:c r="E98" s="3"/>
      <x:c r="F98" s="3"/>
      <x:c r="G98" s="3"/>
      <x:c r="H98" s="3"/>
      <x:c r="I98" s="3"/>
    </x:row>
    <x:row r="99" ht="22" customHeight="1">
      <x:c r="C99" s="2"/>
      <x:c r="D99" s="3"/>
      <x:c r="E99" s="3"/>
      <x:c r="F99" s="3"/>
      <x:c r="G99" s="3"/>
      <x:c r="H99" s="3"/>
      <x:c r="I99" s="3"/>
    </x:row>
    <x:row r="100" ht="22" customHeight="1">
      <x:c r="C100" s="2"/>
      <x:c r="D100" s="3"/>
      <x:c r="E100" s="3"/>
      <x:c r="F100" s="3"/>
      <x:c r="G100" s="3"/>
      <x:c r="H100" s="3"/>
      <x:c r="I100" s="3"/>
    </x:row>
  </x:sheetData>
  <x:mergeCells>
    <x:mergeCell ref="C1:I1"/>
    <x:mergeCell ref="C2:I2"/>
    <x:mergeCell ref="C19:I19"/>
    <x:mergeCell ref="C38:I38"/>
    <x:mergeCell ref="C75:I75"/>
    <x:mergeCell ref="C78:I78"/>
  </x:mergeCells>
  <x:dataValidations count="1">
    <x:dataValidation type="list" sqref="D4">
      <x:formula1>"1,2,3"</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2" hidden="0" customWidth="1"/>
    <x:col min="2" max="2" width="2" hidden="0" customWidth="1"/>
    <x:col min="3" max="3" width="43"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ht="32" customHeight="1">
      <x:c r="C1" s="4" t="str">
        <x:v>Core Molding historical</x:v>
      </x:c>
      <x:c r="D1" s="4"/>
      <x:c r="E1" s="4"/>
      <x:c r="F1" s="4"/>
      <x:c r="G1" s="4"/>
      <x:c r="H1" s="4"/>
      <x:c r="I1" s="4"/>
    </x:row>
    <x:row r="2" ht="24" customHeight="1">
      <x:c r="C2" s="5" t="str">
        <x:v>Independent investment case | USD millions unless stated | Prepared October 1, 2026</x:v>
      </x:c>
      <x:c r="D2" s="5"/>
      <x:c r="E2" s="5"/>
      <x:c r="F2" s="5"/>
      <x:c r="G2" s="5"/>
      <x:c r="H2" s="5"/>
      <x:c r="I2" s="5"/>
    </x:row>
    <x:row r="3" ht="22" customHeight="1">
      <x:c r="C3" s="2"/>
      <x:c r="D3" s="2"/>
      <x:c r="E3" s="2"/>
      <x:c r="F3" s="2"/>
      <x:c r="G3" s="2"/>
      <x:c r="H3" s="2"/>
      <x:c r="I3" s="2"/>
    </x:row>
    <x:row r="4" ht="22" customHeight="1">
      <x:c r="C4" s="2"/>
      <x:c r="D4" s="2"/>
      <x:c r="E4" s="2"/>
      <x:c r="F4" s="2"/>
      <x:c r="G4" s="2"/>
      <x:c r="H4" s="2"/>
      <x:c r="I4" s="2"/>
    </x:row>
    <x:row r="5" ht="22" customHeight="1">
      <x:c r="C5" s="2"/>
      <x:c r="D5" s="2"/>
      <x:c r="E5" s="2"/>
      <x:c r="F5" s="2"/>
      <x:c r="G5" s="2"/>
      <x:c r="H5" s="2"/>
      <x:c r="I5" s="2"/>
    </x:row>
    <x:row r="6" ht="26" customHeight="1">
      <x:c r="C6" s="7" t="str">
        <x:v>Reported period</x:v>
      </x:c>
      <x:c r="D6" s="7" t="str">
        <x:v>FY 2025</x:v>
      </x:c>
      <x:c r="E6" s="7" t="str">
        <x:v>H1 2025</x:v>
      </x:c>
      <x:c r="F6" s="7" t="str">
        <x:v>H1 2026</x:v>
      </x:c>
      <x:c r="G6" s="7" t="str">
        <x:v>LTM Jun 2026</x:v>
      </x:c>
      <x:c r="H6" s="2"/>
      <x:c r="I6" s="2"/>
    </x:row>
    <x:row r="7" ht="22" customHeight="1">
      <x:c r="C7" s="2"/>
      <x:c r="D7" s="3"/>
      <x:c r="E7" s="3"/>
      <x:c r="F7" s="3"/>
      <x:c r="G7" s="3"/>
      <x:c r="H7" s="3"/>
      <x:c r="I7" s="3"/>
    </x:row>
    <x:row r="8" ht="22" customHeight="1">
      <x:c r="C8" s="2" t="str">
        <x:v>Product revenue</x:v>
      </x:c>
      <x:c r="D8" s="8" t="n">
        <x:v>232.205</x:v>
      </x:c>
      <x:c r="E8" s="8" t="n">
        <x:v>122.645</x:v>
      </x:c>
      <x:c r="F8" s="8" t="n">
        <x:v>118.35</x:v>
      </x:c>
      <x:c r="G8" s="3" t="n">
        <x:f>D8-E8+F8</x:f>
        <x:v>227.91000000000003</x:v>
      </x:c>
      <x:c r="H8" s="3"/>
      <x:c r="I8" s="3"/>
    </x:row>
    <x:row r="9" ht="22" customHeight="1">
      <x:c r="C9" s="2" t="str">
        <x:v>Tooling revenue</x:v>
      </x:c>
      <x:c r="D9" s="8" t="n">
        <x:v>41.593</x:v>
      </x:c>
      <x:c r="E9" s="8" t="n">
        <x:v>18.041</x:v>
      </x:c>
      <x:c r="F9" s="8" t="n">
        <x:v>2.962</x:v>
      </x:c>
      <x:c r="G9" s="3" t="n">
        <x:f>D9-E9+F9</x:f>
        <x:v>26.514000000000003</x:v>
      </x:c>
      <x:c r="H9" s="3"/>
      <x:c r="I9" s="3"/>
    </x:row>
    <x:row r="10" ht="22" customHeight="1">
      <x:c r="C10" s="12" t="str">
        <x:v>Total revenue</x:v>
      </x:c>
      <x:c r="D10" s="13" t="n">
        <x:f>SUM(D8:D9)</x:f>
        <x:v>273.798</x:v>
      </x:c>
      <x:c r="E10" s="13" t="n">
        <x:f>SUM(E8:E9)</x:f>
        <x:v>140.686</x:v>
      </x:c>
      <x:c r="F10" s="13" t="n">
        <x:f>SUM(F8:F9)</x:f>
        <x:v>121.312</x:v>
      </x:c>
      <x:c r="G10" s="13" t="n">
        <x:f>SUM(G8:G9)</x:f>
        <x:v>254.42400000000004</x:v>
      </x:c>
      <x:c r="H10" s="3"/>
      <x:c r="I10" s="3"/>
    </x:row>
    <x:row r="11" ht="22" customHeight="1">
      <x:c r="C11" s="2" t="str">
        <x:v>Operating income</x:v>
      </x:c>
      <x:c r="D11" s="8" t="n">
        <x:v>14.218</x:v>
      </x:c>
      <x:c r="E11" s="8" t="n">
        <x:v>8.053</x:v>
      </x:c>
      <x:c r="F11" s="8" t="n">
        <x:v>3.059</x:v>
      </x:c>
      <x:c r="G11" s="3" t="n">
        <x:f>D11-E11+F11</x:f>
        <x:v>9.224</x:v>
      </x:c>
      <x:c r="H11" s="3"/>
      <x:c r="I11" s="3"/>
    </x:row>
    <x:row r="12" ht="22" customHeight="1">
      <x:c r="C12" s="2" t="str">
        <x:v>Adjusted EBITDA (company definition)</x:v>
      </x:c>
      <x:c r="D12" s="8" t="n">
        <x:v>30.711</x:v>
      </x:c>
      <x:c r="E12" s="8" t="n">
        <x:v>16.708</x:v>
      </x:c>
      <x:c r="F12" s="8" t="n">
        <x:v>14.968</x:v>
      </x:c>
      <x:c r="G12" s="3" t="n">
        <x:f>D12-E12+F12</x:f>
        <x:v>28.971</x:v>
      </x:c>
      <x:c r="H12" s="3"/>
      <x:c r="I12" s="3"/>
    </x:row>
    <x:row r="13" ht="22" customHeight="1">
      <x:c r="C13" s="2" t="str">
        <x:v>Operating cash flow</x:v>
      </x:c>
      <x:c r="D13" s="8" t="n">
        <x:v>19.185</x:v>
      </x:c>
      <x:c r="E13" s="8" t="n">
        <x:v>9.594</x:v>
      </x:c>
      <x:c r="F13" s="8" t="n">
        <x:v>7.07</x:v>
      </x:c>
      <x:c r="G13" s="3" t="n">
        <x:f>D13-E13+F13</x:f>
        <x:v>16.661</x:v>
      </x:c>
      <x:c r="H13" s="3"/>
      <x:c r="I13" s="3"/>
    </x:row>
    <x:row r="14" ht="22" customHeight="1">
      <x:c r="C14" s="2" t="str">
        <x:v>Capital expenditure</x:v>
      </x:c>
      <x:c r="D14" s="8" t="n">
        <x:v>17.268</x:v>
      </x:c>
      <x:c r="E14" s="8" t="n">
        <x:v>4.387</x:v>
      </x:c>
      <x:c r="F14" s="8" t="n">
        <x:v>12.082</x:v>
      </x:c>
      <x:c r="G14" s="3" t="n">
        <x:f>D14-E14+F14</x:f>
        <x:v>24.963</x:v>
      </x:c>
      <x:c r="H14" s="3"/>
      <x:c r="I14" s="3"/>
    </x:row>
    <x:row r="15" ht="22" customHeight="1">
      <x:c r="C15" s="12" t="str">
        <x:v>Free cash flow (CFO less capex)</x:v>
      </x:c>
      <x:c r="D15" s="13" t="n">
        <x:f>D13-D14</x:f>
        <x:v>1.916999999999998</x:v>
      </x:c>
      <x:c r="E15" s="13" t="n">
        <x:f>E13-E14</x:f>
        <x:v>5.207</x:v>
      </x:c>
      <x:c r="F15" s="13" t="n">
        <x:f>F13-F14</x:f>
        <x:v>-5.0120000000000005</x:v>
      </x:c>
      <x:c r="G15" s="13" t="n">
        <x:f>G13-G14</x:f>
        <x:v>-8.302</x:v>
      </x:c>
      <x:c r="H15" s="3"/>
      <x:c r="I15" s="3"/>
    </x:row>
    <x:row r="16" ht="22" customHeight="1">
      <x:c r="C16" s="2" t="str">
        <x:v>Depreciation and amortization (cash flow)</x:v>
      </x:c>
      <x:c r="D16" s="8" t="n">
        <x:v>12.348</x:v>
      </x:c>
      <x:c r="E16" s="8" t="n">
        <x:v>6.391</x:v>
      </x:c>
      <x:c r="F16" s="8" t="n">
        <x:v>6.231</x:v>
      </x:c>
      <x:c r="G16" s="3" t="n">
        <x:f>D16-E16+F16</x:f>
        <x:v>12.188</x:v>
      </x:c>
      <x:c r="H16" s="3"/>
      <x:c r="I16" s="3"/>
    </x:row>
    <x:row r="17" ht="22" customHeight="1">
      <x:c r="C17" s="2" t="str">
        <x:v>Share-based compensation</x:v>
      </x:c>
      <x:c r="D17" s="8" t="n">
        <x:v>1.788</x:v>
      </x:c>
      <x:c r="E17" s="8" t="n">
        <x:v>1.125</x:v>
      </x:c>
      <x:c r="F17" s="8" t="n">
        <x:v>0.996</x:v>
      </x:c>
      <x:c r="G17" s="3" t="n">
        <x:f>D17-E17+F17</x:f>
        <x:v>1.659</x:v>
      </x:c>
      <x:c r="H17" s="3"/>
      <x:c r="I17" s="3"/>
    </x:row>
    <x:row r="18" ht="22" customHeight="1">
      <x:c r="C18" s="2"/>
      <x:c r="D18" s="3"/>
      <x:c r="E18" s="3"/>
      <x:c r="F18" s="3"/>
      <x:c r="G18" s="3"/>
      <x:c r="H18" s="3"/>
      <x:c r="I18" s="3"/>
    </x:row>
    <x:row r="19" ht="22" customHeight="1">
      <x:c r="C19" s="2" t="str">
        <x:v>Adjusted EBITDA margin</x:v>
      </x:c>
      <x:c r="D19" s="9" t="n">
        <x:f>D12/D10</x:f>
        <x:v>0.11216663379571801</x:v>
      </x:c>
      <x:c r="E19" s="9" t="n">
        <x:f>E12/E10</x:f>
        <x:v>0.11876092859275264</x:v>
      </x:c>
      <x:c r="F19" s="9" t="n">
        <x:f>F12/F10</x:f>
        <x:v>0.12338433131099974</x:v>
      </x:c>
      <x:c r="G19" s="9" t="n">
        <x:f>G12/G10</x:f>
        <x:v>0.11386897462503535</x:v>
      </x:c>
      <x:c r="H19" s="3"/>
      <x:c r="I19" s="3"/>
    </x:row>
    <x:row r="20" ht="22" customHeight="1">
      <x:c r="C20" s="2" t="str">
        <x:v>Free cash flow / adjusted EBITDA</x:v>
      </x:c>
      <x:c r="D20" s="9" t="n">
        <x:f>D15/D12</x:f>
        <x:v>0.06242063104425118</x:v>
      </x:c>
      <x:c r="E20" s="9" t="n">
        <x:f>E15/E12</x:f>
        <x:v>0.31164711515441706</x:v>
      </x:c>
      <x:c r="F20" s="9" t="n">
        <x:f>F15/F12</x:f>
        <x:v>-0.33484767504008556</x:v>
      </x:c>
      <x:c r="G20" s="9" t="n">
        <x:f>G15/G12</x:f>
        <x:v>-0.286562424493459</x:v>
      </x:c>
      <x:c r="H20" s="3"/>
      <x:c r="I20" s="3"/>
    </x:row>
    <x:row r="21" ht="22" customHeight="1">
      <x:c r="C21" s="2"/>
      <x:c r="D21" s="3"/>
      <x:c r="E21" s="3"/>
      <x:c r="F21" s="3"/>
      <x:c r="G21" s="3"/>
      <x:c r="H21" s="3"/>
      <x:c r="I21" s="3"/>
    </x:row>
    <x:row r="22" ht="22" customHeight="1">
      <x:c r="C22" s="2"/>
      <x:c r="D22" s="3"/>
      <x:c r="E22" s="3"/>
      <x:c r="F22" s="3"/>
      <x:c r="G22" s="3"/>
      <x:c r="H22" s="3"/>
      <x:c r="I22" s="3"/>
    </x:row>
    <x:row r="23" ht="24" customHeight="1">
      <x:c r="C23" s="7" t="str">
        <x:v>Balance sheet snapshots</x:v>
      </x:c>
      <x:c r="D23" s="15"/>
      <x:c r="E23" s="15"/>
      <x:c r="F23" s="15"/>
      <x:c r="G23" s="15"/>
      <x:c r="H23" s="3"/>
      <x:c r="I23" s="3"/>
    </x:row>
    <x:row r="24" ht="22" customHeight="1">
      <x:c r="C24" s="2" t="str">
        <x:v>Snapshot date</x:v>
      </x:c>
      <x:c r="D24" s="3" t="str">
        <x:v>Dec 2025</x:v>
      </x:c>
      <x:c r="E24" s="3" t="str"/>
      <x:c r="F24" s="3" t="str">
        <x:v>Jun 2026</x:v>
      </x:c>
      <x:c r="G24" s="3"/>
      <x:c r="H24" s="3"/>
      <x:c r="I24" s="3"/>
    </x:row>
    <x:row r="25" ht="22" customHeight="1">
      <x:c r="C25" s="2" t="str">
        <x:v>Cash</x:v>
      </x:c>
      <x:c r="D25" s="8" t="n">
        <x:v>38.058</x:v>
      </x:c>
      <x:c r="E25" s="3"/>
      <x:c r="F25" s="8" t="n">
        <x:v>12.134</x:v>
      </x:c>
      <x:c r="G25" s="3"/>
      <x:c r="H25" s="3"/>
      <x:c r="I25" s="3"/>
    </x:row>
    <x:row r="26" ht="22" customHeight="1">
      <x:c r="C26" s="2" t="str">
        <x:v>Term debt</x:v>
      </x:c>
      <x:c r="D26" s="8" t="n">
        <x:v>19.714</x:v>
      </x:c>
      <x:c r="E26" s="3"/>
      <x:c r="F26" s="8" t="n">
        <x:v>0</x:v>
      </x:c>
      <x:c r="G26" s="3"/>
      <x:c r="H26" s="3"/>
      <x:c r="I26" s="3"/>
    </x:row>
    <x:row r="27" ht="22" customHeight="1">
      <x:c r="C27" s="2" t="str">
        <x:v>Accounts receivable</x:v>
      </x:c>
      <x:c r="D27" s="8" t="n">
        <x:v>30.831</x:v>
      </x:c>
      <x:c r="E27" s="3"/>
      <x:c r="F27" s="8" t="n">
        <x:v>35.292</x:v>
      </x:c>
      <x:c r="G27" s="3"/>
      <x:c r="H27" s="3"/>
      <x:c r="I27" s="3"/>
    </x:row>
    <x:row r="28" ht="22" customHeight="1">
      <x:c r="C28" s="2" t="str">
        <x:v>Inventory</x:v>
      </x:c>
      <x:c r="D28" s="8" t="n">
        <x:v>19.715</x:v>
      </x:c>
      <x:c r="E28" s="3"/>
      <x:c r="F28" s="8" t="n">
        <x:v>27.338</x:v>
      </x:c>
      <x:c r="G28" s="3"/>
      <x:c r="H28" s="3"/>
      <x:c r="I28" s="3"/>
    </x:row>
    <x:row r="29" ht="22" customHeight="1">
      <x:c r="C29" s="2" t="str">
        <x:v>Other operating current assets</x:v>
      </x:c>
      <x:c r="D29" s="8" t="n">
        <x:v>14.724</x:v>
      </x:c>
      <x:c r="E29" s="3"/>
      <x:c r="F29" s="8" t="n">
        <x:v>21.54</x:v>
      </x:c>
      <x:c r="G29" s="3"/>
      <x:c r="H29" s="3"/>
      <x:c r="I29" s="3"/>
    </x:row>
    <x:row r="30" ht="22" customHeight="1">
      <x:c r="C30" s="2" t="str">
        <x:v>Accounts payable</x:v>
      </x:c>
      <x:c r="D30" s="8" t="n">
        <x:v>14.924</x:v>
      </x:c>
      <x:c r="E30" s="3"/>
      <x:c r="F30" s="8" t="n">
        <x:v>23.808</x:v>
      </x:c>
      <x:c r="G30" s="3"/>
      <x:c r="H30" s="3"/>
      <x:c r="I30" s="3"/>
    </x:row>
    <x:row r="31" ht="22" customHeight="1">
      <x:c r="C31" s="2" t="str">
        <x:v>Contract liabilities</x:v>
      </x:c>
      <x:c r="D31" s="8" t="n">
        <x:v>5.018</x:v>
      </x:c>
      <x:c r="E31" s="3"/>
      <x:c r="F31" s="8" t="n">
        <x:v>9.774</x:v>
      </x:c>
      <x:c r="G31" s="3"/>
      <x:c r="H31" s="3"/>
      <x:c r="I31" s="3"/>
    </x:row>
    <x:row r="32" ht="22" customHeight="1">
      <x:c r="C32" s="2" t="str">
        <x:v>Compensation accruals</x:v>
      </x:c>
      <x:c r="D32" s="8" t="n">
        <x:v>4.988</x:v>
      </x:c>
      <x:c r="E32" s="3"/>
      <x:c r="F32" s="8" t="n">
        <x:v>7.215</x:v>
      </x:c>
      <x:c r="G32" s="3"/>
      <x:c r="H32" s="3"/>
      <x:c r="I32" s="3"/>
    </x:row>
    <x:row r="33" ht="22" customHeight="1">
      <x:c r="C33" s="2" t="str">
        <x:v>Other current liabilities</x:v>
      </x:c>
      <x:c r="D33" s="8" t="n">
        <x:v>7.168</x:v>
      </x:c>
      <x:c r="E33" s="3"/>
      <x:c r="F33" s="8" t="n">
        <x:v>7.442</x:v>
      </x:c>
      <x:c r="G33" s="3"/>
      <x:c r="H33" s="3"/>
      <x:c r="I33" s="3"/>
    </x:row>
    <x:row r="34" ht="22" customHeight="1">
      <x:c r="C34" s="12" t="str">
        <x:v>Operating net working capital</x:v>
      </x:c>
      <x:c r="D34" s="13" t="n">
        <x:f>SUM(D27:D29)-SUM(D30:D33)</x:f>
        <x:v>33.172</x:v>
      </x:c>
      <x:c r="E34" s="13"/>
      <x:c r="F34" s="13" t="n">
        <x:f>SUM(F27:F29)-SUM(F30:F33)</x:f>
        <x:v>35.931000000000004</x:v>
      </x:c>
      <x:c r="G34" s="13"/>
      <x:c r="H34" s="3"/>
      <x:c r="I34" s="3"/>
    </x:row>
    <x:row r="35" ht="22" customHeight="1">
      <x:c r="C35" s="2" t="str">
        <x:v>NWC / matching trailing revenue</x:v>
      </x:c>
      <x:c r="D35" s="9" t="n">
        <x:f>D34/D10</x:f>
        <x:v>0.12115501208920444</x:v>
      </x:c>
      <x:c r="E35" s="9"/>
      <x:c r="F35" s="9" t="n">
        <x:f>F34/G10</x:f>
        <x:v>0.1412248844448637</x:v>
      </x:c>
      <x:c r="G35" s="3"/>
      <x:c r="H35" s="3"/>
      <x:c r="I35" s="3"/>
    </x:row>
    <x:row r="36" ht="22" customHeight="1">
      <x:c r="C36" s="2"/>
      <x:c r="D36" s="3"/>
      <x:c r="E36" s="3"/>
      <x:c r="F36" s="3"/>
      <x:c r="G36" s="3"/>
      <x:c r="H36" s="3"/>
      <x:c r="I36" s="3"/>
    </x:row>
    <x:row r="37" ht="22" customHeight="1">
      <x:c r="C37" s="2"/>
      <x:c r="D37" s="3"/>
      <x:c r="E37" s="3"/>
      <x:c r="F37" s="3"/>
      <x:c r="G37" s="3"/>
      <x:c r="H37" s="3"/>
      <x:c r="I37" s="3"/>
    </x:row>
    <x:row r="38" ht="44" customHeight="1">
      <x:c r="C38" s="19" t="str">
        <x:v>Sources S1 and S2. LTM = FY 2025 less H1 2025 plus H1 2026. Cash-flow statement D&amp;A differs from the company adjusted EBITDA reconciliation. The model preserves each reported definition.</x:v>
      </x:c>
      <x:c r="D38" s="20"/>
      <x:c r="E38" s="20"/>
      <x:c r="F38" s="20"/>
      <x:c r="G38" s="20"/>
      <x:c r="H38" s="20"/>
      <x:c r="I38" s="20"/>
    </x:row>
    <x:row r="39" ht="22" customHeight="1">
      <x:c r="C39" s="2"/>
      <x:c r="D39" s="3"/>
      <x:c r="E39" s="3"/>
      <x:c r="F39" s="3"/>
      <x:c r="G39" s="3"/>
      <x:c r="H39" s="3"/>
      <x:c r="I39" s="3"/>
    </x:row>
    <x:row r="40" ht="22" customHeight="1">
      <x:c r="C40" s="2"/>
      <x:c r="D40" s="3"/>
      <x:c r="E40" s="3"/>
      <x:c r="F40" s="3"/>
      <x:c r="G40" s="3"/>
      <x:c r="H40" s="3"/>
      <x:c r="I40" s="3"/>
    </x:row>
    <x:row r="41" ht="42" customHeight="1">
      <x:c r="C41" s="19" t="str">
        <x:v>June 2026 balances are carried to the illustrative September 30 entry without a quarterly bridge. This is an explicit case assumption, not a claim about actual September balances.</x:v>
      </x:c>
      <x:c r="D41" s="20"/>
      <x:c r="E41" s="20"/>
      <x:c r="F41" s="20"/>
      <x:c r="G41" s="20"/>
      <x:c r="H41" s="20"/>
      <x:c r="I41" s="20"/>
    </x:row>
    <x:row r="42" ht="22" customHeight="1">
      <x:c r="C42" s="2"/>
      <x:c r="D42" s="3"/>
      <x:c r="E42" s="3"/>
      <x:c r="F42" s="3"/>
      <x:c r="G42" s="3"/>
      <x:c r="H42" s="3"/>
      <x:c r="I42" s="3"/>
    </x:row>
    <x:row r="43" ht="22" customHeight="1">
      <x:c r="C43" s="2"/>
      <x:c r="D43" s="3"/>
      <x:c r="E43" s="3"/>
      <x:c r="F43" s="3"/>
      <x:c r="G43" s="3"/>
      <x:c r="H43" s="3"/>
      <x:c r="I43" s="3"/>
    </x:row>
    <x:row r="44" ht="22" customHeight="1">
      <x:c r="C44" s="2"/>
      <x:c r="D44" s="3"/>
      <x:c r="E44" s="3"/>
      <x:c r="F44" s="3"/>
      <x:c r="G44" s="3"/>
      <x:c r="H44" s="3"/>
      <x:c r="I44" s="3"/>
    </x:row>
    <x:row r="45" ht="22" customHeight="1">
      <x:c r="C45" s="2"/>
      <x:c r="D45" s="3"/>
      <x:c r="E45" s="3"/>
      <x:c r="F45" s="3"/>
      <x:c r="G45" s="3"/>
      <x:c r="H45" s="3"/>
      <x:c r="I45" s="3"/>
    </x:row>
    <x:row r="46" ht="22" customHeight="1">
      <x:c r="C46" s="2"/>
      <x:c r="D46" s="3"/>
      <x:c r="E46" s="3"/>
      <x:c r="F46" s="3"/>
      <x:c r="G46" s="3"/>
      <x:c r="H46" s="3"/>
      <x:c r="I46" s="3"/>
    </x:row>
    <x:row r="47" ht="22" customHeight="1">
      <x:c r="C47" s="2"/>
      <x:c r="D47" s="3"/>
      <x:c r="E47" s="3"/>
      <x:c r="F47" s="3"/>
      <x:c r="G47" s="3"/>
      <x:c r="H47" s="3"/>
      <x:c r="I47" s="3"/>
    </x:row>
    <x:row r="48" ht="22" customHeight="1">
      <x:c r="C48" s="2"/>
      <x:c r="D48" s="3"/>
      <x:c r="E48" s="3"/>
      <x:c r="F48" s="3"/>
      <x:c r="G48" s="3"/>
      <x:c r="H48" s="3"/>
      <x:c r="I48" s="3"/>
    </x:row>
    <x:row r="49" ht="22" customHeight="1">
      <x:c r="C49" s="2"/>
      <x:c r="D49" s="3"/>
      <x:c r="E49" s="3"/>
      <x:c r="F49" s="3"/>
      <x:c r="G49" s="3"/>
      <x:c r="H49" s="3"/>
      <x:c r="I49" s="3"/>
    </x:row>
    <x:row r="50" ht="22" customHeight="1">
      <x:c r="C50" s="2"/>
      <x:c r="D50" s="3"/>
      <x:c r="E50" s="3"/>
      <x:c r="F50" s="3"/>
      <x:c r="G50" s="3"/>
      <x:c r="H50" s="3"/>
      <x:c r="I50" s="3"/>
    </x:row>
    <x:row r="51" ht="22" customHeight="1">
      <x:c r="C51" s="2"/>
      <x:c r="D51" s="3"/>
      <x:c r="E51" s="3"/>
      <x:c r="F51" s="3"/>
      <x:c r="G51" s="3"/>
      <x:c r="H51" s="3"/>
      <x:c r="I51" s="3"/>
    </x:row>
    <x:row r="52" ht="22" customHeight="1">
      <x:c r="C52" s="2"/>
      <x:c r="D52" s="3"/>
      <x:c r="E52" s="3"/>
      <x:c r="F52" s="3"/>
      <x:c r="G52" s="3"/>
      <x:c r="H52" s="3"/>
      <x:c r="I52" s="3"/>
    </x:row>
    <x:row r="53" ht="22" customHeight="1">
      <x:c r="C53" s="2"/>
      <x:c r="D53" s="3"/>
      <x:c r="E53" s="3"/>
      <x:c r="F53" s="3"/>
      <x:c r="G53" s="3"/>
      <x:c r="H53" s="3"/>
      <x:c r="I53" s="3"/>
    </x:row>
    <x:row r="54" ht="22" customHeight="1">
      <x:c r="C54" s="2"/>
      <x:c r="D54" s="3"/>
      <x:c r="E54" s="3"/>
      <x:c r="F54" s="3"/>
      <x:c r="G54" s="3"/>
      <x:c r="H54" s="3"/>
      <x:c r="I54" s="3"/>
    </x:row>
    <x:row r="55" ht="22" customHeight="1">
      <x:c r="C55" s="2"/>
      <x:c r="D55" s="3"/>
      <x:c r="E55" s="3"/>
      <x:c r="F55" s="3"/>
      <x:c r="G55" s="3"/>
      <x:c r="H55" s="3"/>
      <x:c r="I55" s="3"/>
    </x:row>
    <x:row r="56" ht="22" customHeight="1">
      <x:c r="C56" s="2"/>
      <x:c r="D56" s="3"/>
      <x:c r="E56" s="3"/>
      <x:c r="F56" s="3"/>
      <x:c r="G56" s="3"/>
      <x:c r="H56" s="3"/>
      <x:c r="I56" s="3"/>
    </x:row>
    <x:row r="57" ht="22" customHeight="1">
      <x:c r="C57" s="2"/>
      <x:c r="D57" s="3"/>
      <x:c r="E57" s="3"/>
      <x:c r="F57" s="3"/>
      <x:c r="G57" s="3"/>
      <x:c r="H57" s="3"/>
      <x:c r="I57" s="3"/>
    </x:row>
    <x:row r="58" ht="22" customHeight="1">
      <x:c r="C58" s="2"/>
      <x:c r="D58" s="3"/>
      <x:c r="E58" s="3"/>
      <x:c r="F58" s="3"/>
      <x:c r="G58" s="3"/>
      <x:c r="H58" s="3"/>
      <x:c r="I58" s="3"/>
    </x:row>
    <x:row r="59" ht="22" customHeight="1">
      <x:c r="C59" s="2"/>
      <x:c r="D59" s="3"/>
      <x:c r="E59" s="3"/>
      <x:c r="F59" s="3"/>
      <x:c r="G59" s="3"/>
      <x:c r="H59" s="3"/>
      <x:c r="I59" s="3"/>
    </x:row>
    <x:row r="60" ht="22" customHeight="1">
      <x:c r="C60" s="2"/>
      <x:c r="D60" s="3"/>
      <x:c r="E60" s="3"/>
      <x:c r="F60" s="3"/>
      <x:c r="G60" s="3"/>
      <x:c r="H60" s="3"/>
      <x:c r="I60" s="3"/>
    </x:row>
    <x:row r="61" ht="22" customHeight="1">
      <x:c r="C61" s="2"/>
      <x:c r="D61" s="3"/>
      <x:c r="E61" s="3"/>
      <x:c r="F61" s="3"/>
      <x:c r="G61" s="3"/>
      <x:c r="H61" s="3"/>
      <x:c r="I61" s="3"/>
    </x:row>
    <x:row r="62" ht="22" customHeight="1">
      <x:c r="C62" s="2"/>
      <x:c r="D62" s="3"/>
      <x:c r="E62" s="3"/>
      <x:c r="F62" s="3"/>
      <x:c r="G62" s="3"/>
      <x:c r="H62" s="3"/>
      <x:c r="I62" s="3"/>
    </x:row>
    <x:row r="63" ht="22" customHeight="1">
      <x:c r="C63" s="2"/>
      <x:c r="D63" s="3"/>
      <x:c r="E63" s="3"/>
      <x:c r="F63" s="3"/>
      <x:c r="G63" s="3"/>
      <x:c r="H63" s="3"/>
      <x:c r="I63" s="3"/>
    </x:row>
    <x:row r="64" ht="22" customHeight="1">
      <x:c r="C64" s="2"/>
      <x:c r="D64" s="3"/>
      <x:c r="E64" s="3"/>
      <x:c r="F64" s="3"/>
      <x:c r="G64" s="3"/>
      <x:c r="H64" s="3"/>
      <x:c r="I64" s="3"/>
    </x:row>
    <x:row r="65" ht="22" customHeight="1">
      <x:c r="C65" s="2"/>
      <x:c r="D65" s="3"/>
      <x:c r="E65" s="3"/>
      <x:c r="F65" s="3"/>
      <x:c r="G65" s="3"/>
      <x:c r="H65" s="3"/>
      <x:c r="I65" s="3"/>
    </x:row>
    <x:row r="66" ht="22" customHeight="1">
      <x:c r="C66" s="2"/>
      <x:c r="D66" s="3"/>
      <x:c r="E66" s="3"/>
      <x:c r="F66" s="3"/>
      <x:c r="G66" s="3"/>
      <x:c r="H66" s="3"/>
      <x:c r="I66" s="3"/>
    </x:row>
    <x:row r="67" ht="22" customHeight="1">
      <x:c r="C67" s="2"/>
      <x:c r="D67" s="3"/>
      <x:c r="E67" s="3"/>
      <x:c r="F67" s="3"/>
      <x:c r="G67" s="3"/>
      <x:c r="H67" s="3"/>
      <x:c r="I67" s="3"/>
    </x:row>
    <x:row r="68" ht="22" customHeight="1">
      <x:c r="C68" s="2"/>
      <x:c r="D68" s="3"/>
      <x:c r="E68" s="3"/>
      <x:c r="F68" s="3"/>
      <x:c r="G68" s="3"/>
      <x:c r="H68" s="3"/>
      <x:c r="I68" s="3"/>
    </x:row>
    <x:row r="69" ht="22" customHeight="1">
      <x:c r="C69" s="2"/>
      <x:c r="D69" s="3"/>
      <x:c r="E69" s="3"/>
      <x:c r="F69" s="3"/>
      <x:c r="G69" s="3"/>
      <x:c r="H69" s="3"/>
      <x:c r="I69" s="3"/>
    </x:row>
    <x:row r="70" ht="22" customHeight="1">
      <x:c r="C70" s="2"/>
      <x:c r="D70" s="3"/>
      <x:c r="E70" s="3"/>
      <x:c r="F70" s="3"/>
      <x:c r="G70" s="3"/>
      <x:c r="H70" s="3"/>
      <x:c r="I70" s="3"/>
    </x:row>
    <x:row r="71" ht="22" customHeight="1">
      <x:c r="C71" s="2"/>
      <x:c r="D71" s="3"/>
      <x:c r="E71" s="3"/>
      <x:c r="F71" s="3"/>
      <x:c r="G71" s="3"/>
      <x:c r="H71" s="3"/>
      <x:c r="I71" s="3"/>
    </x:row>
    <x:row r="72" ht="22" customHeight="1">
      <x:c r="C72" s="2"/>
      <x:c r="D72" s="3"/>
      <x:c r="E72" s="3"/>
      <x:c r="F72" s="3"/>
      <x:c r="G72" s="3"/>
      <x:c r="H72" s="3"/>
      <x:c r="I72" s="3"/>
    </x:row>
    <x:row r="73" ht="22" customHeight="1">
      <x:c r="C73" s="2"/>
      <x:c r="D73" s="3"/>
      <x:c r="E73" s="3"/>
      <x:c r="F73" s="3"/>
      <x:c r="G73" s="3"/>
      <x:c r="H73" s="3"/>
      <x:c r="I73" s="3"/>
    </x:row>
    <x:row r="74" ht="22" customHeight="1">
      <x:c r="C74" s="2"/>
      <x:c r="D74" s="3"/>
      <x:c r="E74" s="3"/>
      <x:c r="F74" s="3"/>
      <x:c r="G74" s="3"/>
      <x:c r="H74" s="3"/>
      <x:c r="I74" s="3"/>
    </x:row>
    <x:row r="75" ht="22" customHeight="1">
      <x:c r="C75" s="2"/>
      <x:c r="D75" s="3"/>
      <x:c r="E75" s="3"/>
      <x:c r="F75" s="3"/>
      <x:c r="G75" s="3"/>
      <x:c r="H75" s="3"/>
      <x:c r="I75" s="3"/>
    </x:row>
    <x:row r="76" ht="22" customHeight="1">
      <x:c r="C76" s="2"/>
      <x:c r="D76" s="3"/>
      <x:c r="E76" s="3"/>
      <x:c r="F76" s="3"/>
      <x:c r="G76" s="3"/>
      <x:c r="H76" s="3"/>
      <x:c r="I76" s="3"/>
    </x:row>
    <x:row r="77" ht="22" customHeight="1">
      <x:c r="C77" s="2"/>
      <x:c r="D77" s="3"/>
      <x:c r="E77" s="3"/>
      <x:c r="F77" s="3"/>
      <x:c r="G77" s="3"/>
      <x:c r="H77" s="3"/>
      <x:c r="I77" s="3"/>
    </x:row>
    <x:row r="78" ht="22" customHeight="1">
      <x:c r="C78" s="2"/>
      <x:c r="D78" s="3"/>
      <x:c r="E78" s="3"/>
      <x:c r="F78" s="3"/>
      <x:c r="G78" s="3"/>
      <x:c r="H78" s="3"/>
      <x:c r="I78" s="3"/>
    </x:row>
    <x:row r="79" ht="22" customHeight="1">
      <x:c r="C79" s="2"/>
      <x:c r="D79" s="3"/>
      <x:c r="E79" s="3"/>
      <x:c r="F79" s="3"/>
      <x:c r="G79" s="3"/>
      <x:c r="H79" s="3"/>
      <x:c r="I79" s="3"/>
    </x:row>
    <x:row r="80" ht="22" customHeight="1">
      <x:c r="C80" s="2"/>
      <x:c r="D80" s="3"/>
      <x:c r="E80" s="3"/>
      <x:c r="F80" s="3"/>
      <x:c r="G80" s="3"/>
      <x:c r="H80" s="3"/>
      <x:c r="I80" s="3"/>
    </x:row>
    <x:row r="81" ht="22" customHeight="1">
      <x:c r="C81" s="2"/>
      <x:c r="D81" s="3"/>
      <x:c r="E81" s="3"/>
      <x:c r="F81" s="3"/>
      <x:c r="G81" s="3"/>
      <x:c r="H81" s="3"/>
      <x:c r="I81" s="3"/>
    </x:row>
    <x:row r="82" ht="22" customHeight="1">
      <x:c r="C82" s="2"/>
      <x:c r="D82" s="3"/>
      <x:c r="E82" s="3"/>
      <x:c r="F82" s="3"/>
      <x:c r="G82" s="3"/>
      <x:c r="H82" s="3"/>
      <x:c r="I82" s="3"/>
    </x:row>
    <x:row r="83" ht="22" customHeight="1">
      <x:c r="C83" s="2"/>
      <x:c r="D83" s="3"/>
      <x:c r="E83" s="3"/>
      <x:c r="F83" s="3"/>
      <x:c r="G83" s="3"/>
      <x:c r="H83" s="3"/>
      <x:c r="I83" s="3"/>
    </x:row>
    <x:row r="84" ht="22" customHeight="1">
      <x:c r="C84" s="2"/>
      <x:c r="D84" s="3"/>
      <x:c r="E84" s="3"/>
      <x:c r="F84" s="3"/>
      <x:c r="G84" s="3"/>
      <x:c r="H84" s="3"/>
      <x:c r="I84" s="3"/>
    </x:row>
    <x:row r="85" ht="22" customHeight="1">
      <x:c r="C85" s="2"/>
      <x:c r="D85" s="3"/>
      <x:c r="E85" s="3"/>
      <x:c r="F85" s="3"/>
      <x:c r="G85" s="3"/>
      <x:c r="H85" s="3"/>
      <x:c r="I85" s="3"/>
    </x:row>
    <x:row r="86" ht="22" customHeight="1">
      <x:c r="C86" s="2"/>
      <x:c r="D86" s="3"/>
      <x:c r="E86" s="3"/>
      <x:c r="F86" s="3"/>
      <x:c r="G86" s="3"/>
      <x:c r="H86" s="3"/>
      <x:c r="I86" s="3"/>
    </x:row>
    <x:row r="87" ht="22" customHeight="1">
      <x:c r="C87" s="2"/>
      <x:c r="D87" s="3"/>
      <x:c r="E87" s="3"/>
      <x:c r="F87" s="3"/>
      <x:c r="G87" s="3"/>
      <x:c r="H87" s="3"/>
      <x:c r="I87" s="3"/>
    </x:row>
    <x:row r="88" ht="22" customHeight="1">
      <x:c r="C88" s="2"/>
      <x:c r="D88" s="3"/>
      <x:c r="E88" s="3"/>
      <x:c r="F88" s="3"/>
      <x:c r="G88" s="3"/>
      <x:c r="H88" s="3"/>
      <x:c r="I88" s="3"/>
    </x:row>
    <x:row r="89" ht="22" customHeight="1">
      <x:c r="C89" s="2"/>
      <x:c r="D89" s="3"/>
      <x:c r="E89" s="3"/>
      <x:c r="F89" s="3"/>
      <x:c r="G89" s="3"/>
      <x:c r="H89" s="3"/>
      <x:c r="I89" s="3"/>
    </x:row>
    <x:row r="90" ht="22" customHeight="1">
      <x:c r="C90" s="2"/>
      <x:c r="D90" s="3"/>
      <x:c r="E90" s="3"/>
      <x:c r="F90" s="3"/>
      <x:c r="G90" s="3"/>
      <x:c r="H90" s="3"/>
      <x:c r="I90" s="3"/>
    </x:row>
    <x:row r="91" ht="22" customHeight="1">
      <x:c r="C91" s="2"/>
      <x:c r="D91" s="3"/>
      <x:c r="E91" s="3"/>
      <x:c r="F91" s="3"/>
      <x:c r="G91" s="3"/>
      <x:c r="H91" s="3"/>
      <x:c r="I91" s="3"/>
    </x:row>
    <x:row r="92" ht="22" customHeight="1">
      <x:c r="C92" s="2"/>
      <x:c r="D92" s="3"/>
      <x:c r="E92" s="3"/>
      <x:c r="F92" s="3"/>
      <x:c r="G92" s="3"/>
      <x:c r="H92" s="3"/>
      <x:c r="I92" s="3"/>
    </x:row>
    <x:row r="93" ht="22" customHeight="1">
      <x:c r="C93" s="2"/>
      <x:c r="D93" s="3"/>
      <x:c r="E93" s="3"/>
      <x:c r="F93" s="3"/>
      <x:c r="G93" s="3"/>
      <x:c r="H93" s="3"/>
      <x:c r="I93" s="3"/>
    </x:row>
    <x:row r="94" ht="22" customHeight="1">
      <x:c r="C94" s="2"/>
      <x:c r="D94" s="3"/>
      <x:c r="E94" s="3"/>
      <x:c r="F94" s="3"/>
      <x:c r="G94" s="3"/>
      <x:c r="H94" s="3"/>
      <x:c r="I94" s="3"/>
    </x:row>
    <x:row r="95" ht="22" customHeight="1">
      <x:c r="C95" s="2"/>
      <x:c r="D95" s="3"/>
      <x:c r="E95" s="3"/>
      <x:c r="F95" s="3"/>
      <x:c r="G95" s="3"/>
      <x:c r="H95" s="3"/>
      <x:c r="I95" s="3"/>
    </x:row>
    <x:row r="96" ht="22" customHeight="1">
      <x:c r="C96" s="2"/>
      <x:c r="D96" s="3"/>
      <x:c r="E96" s="3"/>
      <x:c r="F96" s="3"/>
      <x:c r="G96" s="3"/>
      <x:c r="H96" s="3"/>
      <x:c r="I96" s="3"/>
    </x:row>
    <x:row r="97" ht="22" customHeight="1">
      <x:c r="C97" s="2"/>
      <x:c r="D97" s="3"/>
      <x:c r="E97" s="3"/>
      <x:c r="F97" s="3"/>
      <x:c r="G97" s="3"/>
      <x:c r="H97" s="3"/>
      <x:c r="I97" s="3"/>
    </x:row>
    <x:row r="98" ht="22" customHeight="1">
      <x:c r="C98" s="2"/>
      <x:c r="D98" s="3"/>
      <x:c r="E98" s="3"/>
      <x:c r="F98" s="3"/>
      <x:c r="G98" s="3"/>
      <x:c r="H98" s="3"/>
      <x:c r="I98" s="3"/>
    </x:row>
    <x:row r="99" ht="22" customHeight="1">
      <x:c r="C99" s="2"/>
      <x:c r="D99" s="3"/>
      <x:c r="E99" s="3"/>
      <x:c r="F99" s="3"/>
      <x:c r="G99" s="3"/>
      <x:c r="H99" s="3"/>
      <x:c r="I99" s="3"/>
    </x:row>
    <x:row r="100" ht="22" customHeight="1">
      <x:c r="C100" s="2"/>
      <x:c r="D100" s="3"/>
      <x:c r="E100" s="3"/>
      <x:c r="F100" s="3"/>
      <x:c r="G100" s="3"/>
      <x:c r="H100" s="3"/>
      <x:c r="I100" s="3"/>
    </x:row>
  </x:sheetData>
  <x:mergeCells>
    <x:mergeCell ref="C1:I1"/>
    <x:mergeCell ref="C2:I2"/>
    <x:mergeCell ref="C38:I38"/>
    <x:mergeCell ref="C41:I41"/>
  </x:mergeCells>
  <x:pageMargins left="0.7" right="0.7" top="0.75" bottom="0.75" header="0.3" footer="0.3"/>
</x:worksheet>
</file>

<file path=xl/worksheets/sheet4.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2" hidden="0" customWidth="1"/>
    <x:col min="2" max="2" width="2" hidden="0" customWidth="1"/>
    <x:col min="3" max="3" width="43"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ht="32" customHeight="1">
      <x:c r="C1" s="4" t="str">
        <x:v>Core Molding operating</x:v>
      </x:c>
      <x:c r="D1" s="4"/>
      <x:c r="E1" s="4"/>
      <x:c r="F1" s="4"/>
      <x:c r="G1" s="4"/>
      <x:c r="H1" s="4"/>
      <x:c r="I1" s="4"/>
    </x:row>
    <x:row r="2" ht="24" customHeight="1">
      <x:c r="C2" s="5" t="str">
        <x:v>Independent investment case | USD millions unless stated | Prepared October 1, 2026</x:v>
      </x:c>
      <x:c r="D2" s="5"/>
      <x:c r="E2" s="5"/>
      <x:c r="F2" s="5"/>
      <x:c r="G2" s="5"/>
      <x:c r="H2" s="5"/>
      <x:c r="I2" s="5"/>
    </x:row>
    <x:row r="3" ht="22" customHeight="1">
      <x:c r="C3" s="2"/>
      <x:c r="D3" s="2"/>
      <x:c r="E3" s="2"/>
      <x:c r="F3" s="2"/>
      <x:c r="G3" s="2"/>
      <x:c r="H3" s="2"/>
      <x:c r="I3" s="2"/>
    </x:row>
    <x:row r="4" ht="22" customHeight="1">
      <x:c r="C4" s="2"/>
      <x:c r="D4" s="2"/>
      <x:c r="E4" s="2"/>
      <x:c r="F4" s="2"/>
      <x:c r="G4" s="2"/>
      <x:c r="H4" s="2"/>
      <x:c r="I4" s="2"/>
    </x:row>
    <x:row r="5" ht="22" customHeight="1">
      <x:c r="C5" s="2"/>
      <x:c r="D5" s="2"/>
      <x:c r="E5" s="2"/>
      <x:c r="F5" s="2"/>
      <x:c r="G5" s="2"/>
      <x:c r="H5" s="2"/>
      <x:c r="I5" s="2"/>
    </x:row>
    <x:row r="6" ht="25" customHeight="1">
      <x:c r="C6" s="7" t="str">
        <x:v>Year ending September 30</x:v>
      </x:c>
      <x:c r="D6" s="30" t="n">
        <x:f>'Assumptions'!D21</x:f>
        <x:v>46660</x:v>
      </x:c>
      <x:c r="E6" s="30" t="n">
        <x:f>'Assumptions'!E21</x:f>
        <x:v>47026</x:v>
      </x:c>
      <x:c r="F6" s="30" t="n">
        <x:f>'Assumptions'!F21</x:f>
        <x:v>47391</x:v>
      </x:c>
      <x:c r="G6" s="30" t="n">
        <x:f>'Assumptions'!G21</x:f>
        <x:v>47756</x:v>
      </x:c>
      <x:c r="H6" s="30" t="n">
        <x:f>'Assumptions'!H21</x:f>
        <x:v>48121</x:v>
      </x:c>
      <x:c r="I6" s="2"/>
    </x:row>
    <x:row r="7" ht="22" customHeight="1">
      <x:c r="C7" s="2"/>
      <x:c r="D7" s="3"/>
      <x:c r="E7" s="3"/>
      <x:c r="F7" s="3"/>
      <x:c r="G7" s="3"/>
      <x:c r="H7" s="3"/>
      <x:c r="I7" s="3"/>
    </x:row>
    <x:row r="8" ht="22" customHeight="1">
      <x:c r="C8" s="2" t="str">
        <x:v>Product revenue growth</x:v>
      </x:c>
      <x:c r="D8" s="36" t="n">
        <x:f>'Assumptions'!D22</x:f>
        <x:v>0.08</x:v>
      </x:c>
      <x:c r="E8" s="36" t="n">
        <x:f>'Assumptions'!E22</x:f>
        <x:v>0.1</x:v>
      </x:c>
      <x:c r="F8" s="36" t="n">
        <x:f>'Assumptions'!F22</x:f>
        <x:v>0.08</x:v>
      </x:c>
      <x:c r="G8" s="36" t="n">
        <x:f>'Assumptions'!G22</x:f>
        <x:v>0.06</x:v>
      </x:c>
      <x:c r="H8" s="36" t="n">
        <x:f>'Assumptions'!H22</x:f>
        <x:v>0.04</x:v>
      </x:c>
      <x:c r="I8" s="3"/>
    </x:row>
    <x:row r="9" ht="22" customHeight="1">
      <x:c r="C9" s="2" t="str">
        <x:v>Product revenue</x:v>
      </x:c>
      <x:c r="D9" s="35" t="n">
        <x:f>'Historical'!G8*(1+D8)</x:f>
        <x:v>246.14280000000005</x:v>
      </x:c>
      <x:c r="E9" s="3" t="n">
        <x:f>D9*(1+E8)</x:f>
        <x:v>270.7570800000001</x:v>
      </x:c>
      <x:c r="F9" s="3" t="n">
        <x:f>E9*(1+F8)</x:f>
        <x:v>292.41764640000014</x:v>
      </x:c>
      <x:c r="G9" s="3" t="n">
        <x:f>F9*(1+G8)</x:f>
        <x:v>309.9627051840002</x:v>
      </x:c>
      <x:c r="H9" s="3" t="n">
        <x:f>G9*(1+H8)</x:f>
        <x:v>322.3612133913602</x:v>
      </x:c>
      <x:c r="I9" s="3"/>
    </x:row>
    <x:row r="10" ht="22" customHeight="1">
      <x:c r="C10" s="2" t="str">
        <x:v>Tooling revenue</x:v>
      </x:c>
      <x:c r="D10" s="35" t="n">
        <x:f>'Assumptions'!D23</x:f>
        <x:v>25</x:v>
      </x:c>
      <x:c r="E10" s="35" t="n">
        <x:f>'Assumptions'!E23</x:f>
        <x:v>22</x:v>
      </x:c>
      <x:c r="F10" s="35" t="n">
        <x:f>'Assumptions'!F23</x:f>
        <x:v>20</x:v>
      </x:c>
      <x:c r="G10" s="35" t="n">
        <x:f>'Assumptions'!G23</x:f>
        <x:v>20</x:v>
      </x:c>
      <x:c r="H10" s="35" t="n">
        <x:f>'Assumptions'!H23</x:f>
        <x:v>20</x:v>
      </x:c>
      <x:c r="I10" s="3"/>
    </x:row>
    <x:row r="11" ht="22" customHeight="1">
      <x:c r="C11" s="12" t="str">
        <x:v>Total revenue</x:v>
      </x:c>
      <x:c r="D11" s="13" t="n">
        <x:f>SUM(D9:D10)</x:f>
        <x:v>271.1428000000001</x:v>
      </x:c>
      <x:c r="E11" s="13" t="n">
        <x:f>SUM(E9:E10)</x:f>
        <x:v>292.7570800000001</x:v>
      </x:c>
      <x:c r="F11" s="13" t="n">
        <x:f>SUM(F9:F10)</x:f>
        <x:v>312.41764640000014</x:v>
      </x:c>
      <x:c r="G11" s="13" t="n">
        <x:f>SUM(G9:G10)</x:f>
        <x:v>329.9627051840002</x:v>
      </x:c>
      <x:c r="H11" s="13" t="n">
        <x:f>SUM(H9:H10)</x:f>
        <x:v>342.3612133913602</x:v>
      </x:c>
      <x:c r="I11" s="3"/>
    </x:row>
    <x:row r="12" ht="22" customHeight="1">
      <x:c r="C12" s="2" t="str">
        <x:v>Revenue growth</x:v>
      </x:c>
      <x:c r="D12" s="36" t="n">
        <x:f>D11/'Historical'!G10-1</x:f>
        <x:v>0.06571235418042343</x:v>
      </x:c>
      <x:c r="E12" s="9" t="n">
        <x:f>E11/D11-1</x:f>
        <x:v>0.07971548571453857</x:v>
      </x:c>
      <x:c r="F12" s="9" t="n">
        <x:f>F11/E11-1</x:f>
        <x:v>0.06715658729756435</x:v>
      </x:c>
      <x:c r="G12" s="9" t="n">
        <x:f>G11/F11-1</x:f>
        <x:v>0.05615898777220929</x:v>
      </x:c>
      <x:c r="H12" s="9" t="n">
        <x:f>H11/G11-1</x:f>
        <x:v>0.03757548357001772</x:v>
      </x:c>
      <x:c r="I12" s="3"/>
    </x:row>
    <x:row r="13" ht="22" customHeight="1">
      <x:c r="C13" s="2"/>
      <x:c r="D13" s="3"/>
      <x:c r="E13" s="3"/>
      <x:c r="F13" s="3"/>
      <x:c r="G13" s="3"/>
      <x:c r="H13" s="3"/>
      <x:c r="I13" s="3"/>
    </x:row>
    <x:row r="14" ht="22" customHeight="1">
      <x:c r="C14" s="2" t="str">
        <x:v>Adjusted EBITDA margin</x:v>
      </x:c>
      <x:c r="D14" s="36" t="n">
        <x:f>'Assumptions'!D24</x:f>
        <x:v>0.115</x:v>
      </x:c>
      <x:c r="E14" s="36" t="n">
        <x:f>'Assumptions'!E24</x:f>
        <x:v>0.12</x:v>
      </x:c>
      <x:c r="F14" s="36" t="n">
        <x:f>'Assumptions'!F24</x:f>
        <x:v>0.125</x:v>
      </x:c>
      <x:c r="G14" s="36" t="n">
        <x:f>'Assumptions'!G24</x:f>
        <x:v>0.1275</x:v>
      </x:c>
      <x:c r="H14" s="36" t="n">
        <x:f>'Assumptions'!H24</x:f>
        <x:v>0.13</x:v>
      </x:c>
      <x:c r="I14" s="3"/>
    </x:row>
    <x:row r="15" ht="22" customHeight="1">
      <x:c r="C15" s="12" t="str">
        <x:v>Adjusted EBITDA</x:v>
      </x:c>
      <x:c r="D15" s="13" t="n">
        <x:f>D11*D14</x:f>
        <x:v>31.181422000000012</x:v>
      </x:c>
      <x:c r="E15" s="13" t="n">
        <x:f>E11*E14</x:f>
        <x:v>35.13084960000001</x:v>
      </x:c>
      <x:c r="F15" s="13" t="n">
        <x:f>F11*F14</x:f>
        <x:v>39.05220580000002</x:v>
      </x:c>
      <x:c r="G15" s="13" t="n">
        <x:f>G11*G14</x:f>
        <x:v>42.07024491096002</x:v>
      </x:c>
      <x:c r="H15" s="13" t="n">
        <x:f>H11*H14</x:f>
        <x:v>44.50695774087683</x:v>
      </x:c>
      <x:c r="I15" s="3"/>
    </x:row>
    <x:row r="16" ht="22" customHeight="1">
      <x:c r="C16" s="2" t="str">
        <x:v>Replacement cash compensation</x:v>
      </x:c>
      <x:c r="D16" s="35" t="n">
        <x:f>D11*'Assumptions'!D30</x:f>
        <x:v>2.0335710000000007</x:v>
      </x:c>
      <x:c r="E16" s="35" t="n">
        <x:f>E11*'Assumptions'!E30</x:f>
        <x:v>2.1956781000000007</x:v>
      </x:c>
      <x:c r="F16" s="35" t="n">
        <x:f>F11*'Assumptions'!F30</x:f>
        <x:v>2.343132348000001</x:v>
      </x:c>
      <x:c r="G16" s="35" t="n">
        <x:f>G11*'Assumptions'!G30</x:f>
        <x:v>2.4747202888800013</x:v>
      </x:c>
      <x:c r="H16" s="35" t="n">
        <x:f>H11*'Assumptions'!H30</x:f>
        <x:v>2.5677091004352013</x:v>
      </x:c>
      <x:c r="I16" s="3"/>
    </x:row>
    <x:row r="17" ht="22" customHeight="1">
      <x:c r="C17" s="2" t="str">
        <x:v>Cash restructuring and launch costs</x:v>
      </x:c>
      <x:c r="D17" s="35" t="n">
        <x:f>'Assumptions'!D27</x:f>
        <x:v>2</x:v>
      </x:c>
      <x:c r="E17" s="35" t="n">
        <x:f>'Assumptions'!E27</x:f>
        <x:v>1</x:v>
      </x:c>
      <x:c r="F17" s="35" t="n">
        <x:f>'Assumptions'!F27</x:f>
        <x:v>0</x:v>
      </x:c>
      <x:c r="G17" s="35" t="n">
        <x:f>'Assumptions'!G27</x:f>
        <x:v>0</x:v>
      </x:c>
      <x:c r="H17" s="35" t="n">
        <x:f>'Assumptions'!H27</x:f>
        <x:v>0</x:v>
      </x:c>
      <x:c r="I17" s="3"/>
    </x:row>
    <x:row r="18" ht="22" customHeight="1">
      <x:c r="C18" s="12" t="str">
        <x:v>Cash-oriented EBITDA</x:v>
      </x:c>
      <x:c r="D18" s="13" t="n">
        <x:f>D15-SUM(D16:D17)</x:f>
        <x:v>27.14785100000001</x:v>
      </x:c>
      <x:c r="E18" s="13" t="n">
        <x:f>E15-SUM(E16:E17)</x:f>
        <x:v>31.93517150000001</x:v>
      </x:c>
      <x:c r="F18" s="13" t="n">
        <x:f>F15-SUM(F16:F17)</x:f>
        <x:v>36.70907345200001</x:v>
      </x:c>
      <x:c r="G18" s="13" t="n">
        <x:f>G15-SUM(G16:G17)</x:f>
        <x:v>39.59552462208002</x:v>
      </x:c>
      <x:c r="H18" s="13" t="n">
        <x:f>H15-SUM(H16:H17)</x:f>
        <x:v>41.939248640441626</x:v>
      </x:c>
      <x:c r="I18" s="3"/>
    </x:row>
    <x:row r="19" ht="22" customHeight="1">
      <x:c r="C19" s="2" t="str">
        <x:v>Depreciation and amortization</x:v>
      </x:c>
      <x:c r="D19" s="35" t="n">
        <x:f>D11*'Assumptions'!D31</x:f>
        <x:v>13.557140000000004</x:v>
      </x:c>
      <x:c r="E19" s="35" t="n">
        <x:f>E11*'Assumptions'!E31</x:f>
        <x:v>14.637854000000004</x:v>
      </x:c>
      <x:c r="F19" s="35" t="n">
        <x:f>F11*'Assumptions'!F31</x:f>
        <x:v>15.620882320000007</x:v>
      </x:c>
      <x:c r="G19" s="35" t="n">
        <x:f>G11*'Assumptions'!G31</x:f>
        <x:v>16.49813525920001</x:v>
      </x:c>
      <x:c r="H19" s="35" t="n">
        <x:f>H11*'Assumptions'!H31</x:f>
        <x:v>17.11806066956801</x:v>
      </x:c>
      <x:c r="I19" s="3"/>
    </x:row>
    <x:row r="20" ht="22" customHeight="1">
      <x:c r="C20" s="12" t="str">
        <x:v>EBIT proxy</x:v>
      </x:c>
      <x:c r="D20" s="13" t="n">
        <x:f>D18-D19</x:f>
        <x:v>13.590711000000006</x:v>
      </x:c>
      <x:c r="E20" s="13" t="n">
        <x:f>E18-E19</x:f>
        <x:v>17.297317500000005</x:v>
      </x:c>
      <x:c r="F20" s="13" t="n">
        <x:f>F18-F19</x:f>
        <x:v>21.088191132000006</x:v>
      </x:c>
      <x:c r="G20" s="13" t="n">
        <x:f>G18-G19</x:f>
        <x:v>23.097389362880012</x:v>
      </x:c>
      <x:c r="H20" s="13" t="n">
        <x:f>H18-H19</x:f>
        <x:v>24.821187970873616</x:v>
      </x:c>
      <x:c r="I20" s="3"/>
    </x:row>
    <x:row r="21" ht="22" customHeight="1">
      <x:c r="C21" s="2"/>
      <x:c r="D21" s="3"/>
      <x:c r="E21" s="3"/>
      <x:c r="F21" s="3"/>
      <x:c r="G21" s="3"/>
      <x:c r="H21" s="3"/>
      <x:c r="I21" s="3"/>
    </x:row>
    <x:row r="22" ht="22" customHeight="1">
      <x:c r="C22" s="2" t="str">
        <x:v>Operating NWC / revenue</x:v>
      </x:c>
      <x:c r="D22" s="36" t="n">
        <x:f>'Assumptions'!D26</x:f>
        <x:v>0.145</x:v>
      </x:c>
      <x:c r="E22" s="36" t="n">
        <x:f>'Assumptions'!E26</x:f>
        <x:v>0.14</x:v>
      </x:c>
      <x:c r="F22" s="36" t="n">
        <x:f>'Assumptions'!F26</x:f>
        <x:v>0.135</x:v>
      </x:c>
      <x:c r="G22" s="36" t="n">
        <x:f>'Assumptions'!G26</x:f>
        <x:v>0.135</x:v>
      </x:c>
      <x:c r="H22" s="36" t="n">
        <x:f>'Assumptions'!H26</x:f>
        <x:v>0.135</x:v>
      </x:c>
      <x:c r="I22" s="3"/>
    </x:row>
    <x:row r="23" ht="22" customHeight="1">
      <x:c r="C23" s="2" t="str">
        <x:v>Operating net working capital</x:v>
      </x:c>
      <x:c r="D23" s="3" t="n">
        <x:f>D11*D22</x:f>
        <x:v>39.315706000000006</x:v>
      </x:c>
      <x:c r="E23" s="3" t="n">
        <x:f>E11*E22</x:f>
        <x:v>40.985991200000015</x:v>
      </x:c>
      <x:c r="F23" s="3" t="n">
        <x:f>F11*F22</x:f>
        <x:v>42.17638226400002</x:v>
      </x:c>
      <x:c r="G23" s="3" t="n">
        <x:f>G11*G22</x:f>
        <x:v>44.54496519984003</x:v>
      </x:c>
      <x:c r="H23" s="3" t="n">
        <x:f>H11*H22</x:f>
        <x:v>46.21876380783363</x:v>
      </x:c>
      <x:c r="I23" s="3"/>
    </x:row>
    <x:row r="24" ht="22" customHeight="1">
      <x:c r="C24" s="2" t="str">
        <x:v>Change in operating NWC</x:v>
      </x:c>
      <x:c r="D24" s="35" t="n">
        <x:f>D23-'Historical'!F34</x:f>
        <x:v>3.3847060000000013</x:v>
      </x:c>
      <x:c r="E24" s="3" t="n">
        <x:f>E23-D23</x:f>
        <x:v>1.6702852000000092</x:v>
      </x:c>
      <x:c r="F24" s="3" t="n">
        <x:f>F23-E23</x:f>
        <x:v>1.1903910640000035</x:v>
      </x:c>
      <x:c r="G24" s="3" t="n">
        <x:f>G23-F23</x:f>
        <x:v>2.36858293584001</x:v>
      </x:c>
      <x:c r="H24" s="3" t="n">
        <x:f>H23-G23</x:f>
        <x:v>1.6737986079936036</x:v>
      </x:c>
      <x:c r="I24" s="3"/>
    </x:row>
    <x:row r="25" ht="22" customHeight="1">
      <x:c r="C25" s="2"/>
      <x:c r="D25" s="3"/>
      <x:c r="E25" s="3"/>
      <x:c r="F25" s="3"/>
      <x:c r="G25" s="3"/>
      <x:c r="H25" s="3"/>
      <x:c r="I25" s="3"/>
    </x:row>
    <x:row r="26" ht="22" customHeight="1">
      <x:c r="C26" s="2" t="str">
        <x:v>Capital expenditure</x:v>
      </x:c>
      <x:c r="D26" s="35" t="n">
        <x:f>'Assumptions'!D25</x:f>
        <x:v>26</x:v>
      </x:c>
      <x:c r="E26" s="35" t="n">
        <x:f>'Assumptions'!E25</x:f>
        <x:v>16</x:v>
      </x:c>
      <x:c r="F26" s="35" t="n">
        <x:f>'Assumptions'!F25</x:f>
        <x:v>13</x:v>
      </x:c>
      <x:c r="G26" s="35" t="n">
        <x:f>'Assumptions'!G25</x:f>
        <x:v>13</x:v>
      </x:c>
      <x:c r="H26" s="35" t="n">
        <x:f>'Assumptions'!H25</x:f>
        <x:v>14</x:v>
      </x:c>
      <x:c r="I26" s="3"/>
    </x:row>
    <x:row r="27" ht="22" customHeight="1">
      <x:c r="C27" s="2" t="str">
        <x:v>Unlevered cash taxes</x:v>
      </x:c>
      <x:c r="D27" s="35" t="n">
        <x:f>MAX(D20,0)*'Assumptions'!D32</x:f>
        <x:v>3.5335848600000017</x:v>
      </x:c>
      <x:c r="E27" s="35" t="n">
        <x:f>MAX(E20,0)*'Assumptions'!E32</x:f>
        <x:v>4.4973025500000015</x:v>
      </x:c>
      <x:c r="F27" s="35" t="n">
        <x:f>MAX(F20,0)*'Assumptions'!F32</x:f>
        <x:v>5.482929694320002</x:v>
      </x:c>
      <x:c r="G27" s="35" t="n">
        <x:f>MAX(G20,0)*'Assumptions'!G32</x:f>
        <x:v>6.005321234348803</x:v>
      </x:c>
      <x:c r="H27" s="35" t="n">
        <x:f>MAX(H20,0)*'Assumptions'!H32</x:f>
        <x:v>6.4535088724271406</x:v>
      </x:c>
      <x:c r="I27" s="3"/>
    </x:row>
    <x:row r="28" ht="22" customHeight="1">
      <x:c r="C28" s="12" t="str">
        <x:v>Unlevered free cash flow</x:v>
      </x:c>
      <x:c r="D28" s="13" t="n">
        <x:f>D18-D27-D26-D24</x:f>
        <x:v>-5.770439859999993</x:v>
      </x:c>
      <x:c r="E28" s="13" t="n">
        <x:f>E18-E27-E26-E24</x:f>
        <x:v>9.76758375</x:v>
      </x:c>
      <x:c r="F28" s="13" t="n">
        <x:f>F18-F27-F26-F24</x:f>
        <x:v>17.035752693680006</x:v>
      </x:c>
      <x:c r="G28" s="13" t="n">
        <x:f>G18-G27-G26-G24</x:f>
        <x:v>18.221620451891205</x:v>
      </x:c>
      <x:c r="H28" s="13" t="n">
        <x:f>H18-H27-H26-H24</x:f>
        <x:v>19.81194116002088</x:v>
      </x:c>
      <x:c r="I28" s="3"/>
    </x:row>
    <x:row r="29" ht="22" customHeight="1">
      <x:c r="C29" s="2"/>
      <x:c r="D29" s="3"/>
      <x:c r="E29" s="3"/>
      <x:c r="F29" s="3"/>
      <x:c r="G29" s="3"/>
      <x:c r="H29" s="3"/>
      <x:c r="I29" s="3"/>
    </x:row>
    <x:row r="30" ht="22" customHeight="1">
      <x:c r="C30" s="2"/>
      <x:c r="D30" s="3"/>
      <x:c r="E30" s="3"/>
      <x:c r="F30" s="3"/>
      <x:c r="G30" s="3"/>
      <x:c r="H30" s="3"/>
      <x:c r="I30" s="3"/>
    </x:row>
    <x:row r="31" ht="43" customHeight="1">
      <x:c r="C31" s="19" t="str">
        <x:v>Cash-oriented EBITDA is a modeling measure, not reported GAAP EBITDA. Replacement compensation avoids treating recurring stock compensation as costless. Recurring cash taxes are simplified at the assumed rate.</x:v>
      </x:c>
      <x:c r="D31" s="20"/>
      <x:c r="E31" s="20"/>
      <x:c r="F31" s="20"/>
      <x:c r="G31" s="20"/>
      <x:c r="H31" s="20"/>
      <x:c r="I31" s="20"/>
    </x:row>
    <x:row r="32" ht="22" customHeight="1">
      <x:c r="C32" s="2"/>
      <x:c r="D32" s="3"/>
      <x:c r="E32" s="3"/>
      <x:c r="F32" s="3"/>
      <x:c r="G32" s="3"/>
      <x:c r="H32" s="3"/>
      <x:c r="I32" s="3"/>
    </x:row>
    <x:row r="33" ht="22" customHeight="1">
      <x:c r="C33" s="2"/>
      <x:c r="D33" s="3"/>
      <x:c r="E33" s="3"/>
      <x:c r="F33" s="3"/>
      <x:c r="G33" s="3"/>
      <x:c r="H33" s="3"/>
      <x:c r="I33" s="3"/>
    </x:row>
    <x:row r="34" ht="42" customHeight="1">
      <x:c r="C34" s="19" t="str">
        <x:v>This is an operating and acquisition cash-flow model, not a full purchase-accounting three-statement forecast. It does not forecast goodwill, deferred taxes or ESOP suspense-share accounting.</x:v>
      </x:c>
      <x:c r="D34" s="20"/>
      <x:c r="E34" s="20"/>
      <x:c r="F34" s="20"/>
      <x:c r="G34" s="20"/>
      <x:c r="H34" s="20"/>
      <x:c r="I34" s="20"/>
    </x:row>
    <x:row r="35" ht="22" customHeight="1">
      <x:c r="C35" s="2"/>
      <x:c r="D35" s="3"/>
      <x:c r="E35" s="3"/>
      <x:c r="F35" s="3"/>
      <x:c r="G35" s="3"/>
      <x:c r="H35" s="3"/>
      <x:c r="I35" s="3"/>
    </x:row>
    <x:row r="36" ht="22" customHeight="1">
      <x:c r="C36" s="2"/>
      <x:c r="D36" s="3"/>
      <x:c r="E36" s="3"/>
      <x:c r="F36" s="3"/>
      <x:c r="G36" s="3"/>
      <x:c r="H36" s="3"/>
      <x:c r="I36" s="3"/>
    </x:row>
    <x:row r="37" ht="22" customHeight="1">
      <x:c r="C37" s="2"/>
      <x:c r="D37" s="3"/>
      <x:c r="E37" s="3"/>
      <x:c r="F37" s="3"/>
      <x:c r="G37" s="3"/>
      <x:c r="H37" s="3"/>
      <x:c r="I37" s="3"/>
    </x:row>
    <x:row r="38" ht="22" customHeight="1">
      <x:c r="C38" s="2"/>
      <x:c r="D38" s="3"/>
      <x:c r="E38" s="3"/>
      <x:c r="F38" s="3"/>
      <x:c r="G38" s="3"/>
      <x:c r="H38" s="3"/>
      <x:c r="I38" s="3"/>
    </x:row>
    <x:row r="39" ht="22" customHeight="1">
      <x:c r="C39" s="2"/>
      <x:c r="D39" s="3"/>
      <x:c r="E39" s="3"/>
      <x:c r="F39" s="3"/>
      <x:c r="G39" s="3"/>
      <x:c r="H39" s="3"/>
      <x:c r="I39" s="3"/>
    </x:row>
    <x:row r="40" ht="22" customHeight="1">
      <x:c r="C40" s="2"/>
      <x:c r="D40" s="3"/>
      <x:c r="E40" s="3"/>
      <x:c r="F40" s="3"/>
      <x:c r="G40" s="3"/>
      <x:c r="H40" s="3"/>
      <x:c r="I40" s="3"/>
    </x:row>
    <x:row r="41" ht="22" customHeight="1">
      <x:c r="C41" s="2"/>
      <x:c r="D41" s="3"/>
      <x:c r="E41" s="3"/>
      <x:c r="F41" s="3"/>
      <x:c r="G41" s="3"/>
      <x:c r="H41" s="3"/>
      <x:c r="I41" s="3"/>
    </x:row>
    <x:row r="42" ht="22" customHeight="1">
      <x:c r="C42" s="2"/>
      <x:c r="D42" s="3"/>
      <x:c r="E42" s="3"/>
      <x:c r="F42" s="3"/>
      <x:c r="G42" s="3"/>
      <x:c r="H42" s="3"/>
      <x:c r="I42" s="3"/>
    </x:row>
    <x:row r="43" ht="22" customHeight="1">
      <x:c r="C43" s="2"/>
      <x:c r="D43" s="3"/>
      <x:c r="E43" s="3"/>
      <x:c r="F43" s="3"/>
      <x:c r="G43" s="3"/>
      <x:c r="H43" s="3"/>
      <x:c r="I43" s="3"/>
    </x:row>
    <x:row r="44" ht="22" customHeight="1">
      <x:c r="C44" s="2"/>
      <x:c r="D44" s="3"/>
      <x:c r="E44" s="3"/>
      <x:c r="F44" s="3"/>
      <x:c r="G44" s="3"/>
      <x:c r="H44" s="3"/>
      <x:c r="I44" s="3"/>
    </x:row>
    <x:row r="45" ht="22" customHeight="1">
      <x:c r="C45" s="2"/>
      <x:c r="D45" s="3"/>
      <x:c r="E45" s="3"/>
      <x:c r="F45" s="3"/>
      <x:c r="G45" s="3"/>
      <x:c r="H45" s="3"/>
      <x:c r="I45" s="3"/>
    </x:row>
    <x:row r="46" ht="22" customHeight="1">
      <x:c r="C46" s="2"/>
      <x:c r="D46" s="3"/>
      <x:c r="E46" s="3"/>
      <x:c r="F46" s="3"/>
      <x:c r="G46" s="3"/>
      <x:c r="H46" s="3"/>
      <x:c r="I46" s="3"/>
    </x:row>
    <x:row r="47" ht="22" customHeight="1">
      <x:c r="C47" s="2"/>
      <x:c r="D47" s="3"/>
      <x:c r="E47" s="3"/>
      <x:c r="F47" s="3"/>
      <x:c r="G47" s="3"/>
      <x:c r="H47" s="3"/>
      <x:c r="I47" s="3"/>
    </x:row>
    <x:row r="48" ht="22" customHeight="1">
      <x:c r="C48" s="2"/>
      <x:c r="D48" s="3"/>
      <x:c r="E48" s="3"/>
      <x:c r="F48" s="3"/>
      <x:c r="G48" s="3"/>
      <x:c r="H48" s="3"/>
      <x:c r="I48" s="3"/>
    </x:row>
    <x:row r="49" ht="22" customHeight="1">
      <x:c r="C49" s="2"/>
      <x:c r="D49" s="3"/>
      <x:c r="E49" s="3"/>
      <x:c r="F49" s="3"/>
      <x:c r="G49" s="3"/>
      <x:c r="H49" s="3"/>
      <x:c r="I49" s="3"/>
    </x:row>
    <x:row r="50" ht="22" customHeight="1">
      <x:c r="C50" s="2"/>
      <x:c r="D50" s="3"/>
      <x:c r="E50" s="3"/>
      <x:c r="F50" s="3"/>
      <x:c r="G50" s="3"/>
      <x:c r="H50" s="3"/>
      <x:c r="I50" s="3"/>
    </x:row>
    <x:row r="51" ht="22" customHeight="1">
      <x:c r="C51" s="2"/>
      <x:c r="D51" s="3"/>
      <x:c r="E51" s="3"/>
      <x:c r="F51" s="3"/>
      <x:c r="G51" s="3"/>
      <x:c r="H51" s="3"/>
      <x:c r="I51" s="3"/>
    </x:row>
    <x:row r="52" ht="22" customHeight="1">
      <x:c r="C52" s="2"/>
      <x:c r="D52" s="3"/>
      <x:c r="E52" s="3"/>
      <x:c r="F52" s="3"/>
      <x:c r="G52" s="3"/>
      <x:c r="H52" s="3"/>
      <x:c r="I52" s="3"/>
    </x:row>
    <x:row r="53" ht="22" customHeight="1">
      <x:c r="C53" s="2"/>
      <x:c r="D53" s="3"/>
      <x:c r="E53" s="3"/>
      <x:c r="F53" s="3"/>
      <x:c r="G53" s="3"/>
      <x:c r="H53" s="3"/>
      <x:c r="I53" s="3"/>
    </x:row>
    <x:row r="54" ht="22" customHeight="1">
      <x:c r="C54" s="2"/>
      <x:c r="D54" s="3"/>
      <x:c r="E54" s="3"/>
      <x:c r="F54" s="3"/>
      <x:c r="G54" s="3"/>
      <x:c r="H54" s="3"/>
      <x:c r="I54" s="3"/>
    </x:row>
    <x:row r="55" ht="22" customHeight="1">
      <x:c r="C55" s="2"/>
      <x:c r="D55" s="3"/>
      <x:c r="E55" s="3"/>
      <x:c r="F55" s="3"/>
      <x:c r="G55" s="3"/>
      <x:c r="H55" s="3"/>
      <x:c r="I55" s="3"/>
    </x:row>
    <x:row r="56" ht="22" customHeight="1">
      <x:c r="C56" s="2"/>
      <x:c r="D56" s="3"/>
      <x:c r="E56" s="3"/>
      <x:c r="F56" s="3"/>
      <x:c r="G56" s="3"/>
      <x:c r="H56" s="3"/>
      <x:c r="I56" s="3"/>
    </x:row>
    <x:row r="57" ht="22" customHeight="1">
      <x:c r="C57" s="2"/>
      <x:c r="D57" s="3"/>
      <x:c r="E57" s="3"/>
      <x:c r="F57" s="3"/>
      <x:c r="G57" s="3"/>
      <x:c r="H57" s="3"/>
      <x:c r="I57" s="3"/>
    </x:row>
    <x:row r="58" ht="22" customHeight="1">
      <x:c r="C58" s="2"/>
      <x:c r="D58" s="3"/>
      <x:c r="E58" s="3"/>
      <x:c r="F58" s="3"/>
      <x:c r="G58" s="3"/>
      <x:c r="H58" s="3"/>
      <x:c r="I58" s="3"/>
    </x:row>
    <x:row r="59" ht="22" customHeight="1">
      <x:c r="C59" s="2"/>
      <x:c r="D59" s="3"/>
      <x:c r="E59" s="3"/>
      <x:c r="F59" s="3"/>
      <x:c r="G59" s="3"/>
      <x:c r="H59" s="3"/>
      <x:c r="I59" s="3"/>
    </x:row>
    <x:row r="60" ht="22" customHeight="1">
      <x:c r="C60" s="2"/>
      <x:c r="D60" s="3"/>
      <x:c r="E60" s="3"/>
      <x:c r="F60" s="3"/>
      <x:c r="G60" s="3"/>
      <x:c r="H60" s="3"/>
      <x:c r="I60" s="3"/>
    </x:row>
    <x:row r="61" ht="22" customHeight="1">
      <x:c r="C61" s="2"/>
      <x:c r="D61" s="3"/>
      <x:c r="E61" s="3"/>
      <x:c r="F61" s="3"/>
      <x:c r="G61" s="3"/>
      <x:c r="H61" s="3"/>
      <x:c r="I61" s="3"/>
    </x:row>
    <x:row r="62" ht="22" customHeight="1">
      <x:c r="C62" s="2"/>
      <x:c r="D62" s="3"/>
      <x:c r="E62" s="3"/>
      <x:c r="F62" s="3"/>
      <x:c r="G62" s="3"/>
      <x:c r="H62" s="3"/>
      <x:c r="I62" s="3"/>
    </x:row>
    <x:row r="63" ht="22" customHeight="1">
      <x:c r="C63" s="2"/>
      <x:c r="D63" s="3"/>
      <x:c r="E63" s="3"/>
      <x:c r="F63" s="3"/>
      <x:c r="G63" s="3"/>
      <x:c r="H63" s="3"/>
      <x:c r="I63" s="3"/>
    </x:row>
    <x:row r="64" ht="22" customHeight="1">
      <x:c r="C64" s="2"/>
      <x:c r="D64" s="3"/>
      <x:c r="E64" s="3"/>
      <x:c r="F64" s="3"/>
      <x:c r="G64" s="3"/>
      <x:c r="H64" s="3"/>
      <x:c r="I64" s="3"/>
    </x:row>
    <x:row r="65" ht="22" customHeight="1">
      <x:c r="C65" s="2"/>
      <x:c r="D65" s="3"/>
      <x:c r="E65" s="3"/>
      <x:c r="F65" s="3"/>
      <x:c r="G65" s="3"/>
      <x:c r="H65" s="3"/>
      <x:c r="I65" s="3"/>
    </x:row>
    <x:row r="66" ht="22" customHeight="1">
      <x:c r="C66" s="2"/>
      <x:c r="D66" s="3"/>
      <x:c r="E66" s="3"/>
      <x:c r="F66" s="3"/>
      <x:c r="G66" s="3"/>
      <x:c r="H66" s="3"/>
      <x:c r="I66" s="3"/>
    </x:row>
    <x:row r="67" ht="22" customHeight="1">
      <x:c r="C67" s="2"/>
      <x:c r="D67" s="3"/>
      <x:c r="E67" s="3"/>
      <x:c r="F67" s="3"/>
      <x:c r="G67" s="3"/>
      <x:c r="H67" s="3"/>
      <x:c r="I67" s="3"/>
    </x:row>
    <x:row r="68" ht="22" customHeight="1">
      <x:c r="C68" s="2"/>
      <x:c r="D68" s="3"/>
      <x:c r="E68" s="3"/>
      <x:c r="F68" s="3"/>
      <x:c r="G68" s="3"/>
      <x:c r="H68" s="3"/>
      <x:c r="I68" s="3"/>
    </x:row>
    <x:row r="69" ht="22" customHeight="1">
      <x:c r="C69" s="2"/>
      <x:c r="D69" s="3"/>
      <x:c r="E69" s="3"/>
      <x:c r="F69" s="3"/>
      <x:c r="G69" s="3"/>
      <x:c r="H69" s="3"/>
      <x:c r="I69" s="3"/>
    </x:row>
    <x:row r="70" ht="22" customHeight="1">
      <x:c r="C70" s="2"/>
      <x:c r="D70" s="3"/>
      <x:c r="E70" s="3"/>
      <x:c r="F70" s="3"/>
      <x:c r="G70" s="3"/>
      <x:c r="H70" s="3"/>
      <x:c r="I70" s="3"/>
    </x:row>
    <x:row r="71" ht="22" customHeight="1">
      <x:c r="C71" s="2"/>
      <x:c r="D71" s="3"/>
      <x:c r="E71" s="3"/>
      <x:c r="F71" s="3"/>
      <x:c r="G71" s="3"/>
      <x:c r="H71" s="3"/>
      <x:c r="I71" s="3"/>
    </x:row>
    <x:row r="72" ht="22" customHeight="1">
      <x:c r="C72" s="2"/>
      <x:c r="D72" s="3"/>
      <x:c r="E72" s="3"/>
      <x:c r="F72" s="3"/>
      <x:c r="G72" s="3"/>
      <x:c r="H72" s="3"/>
      <x:c r="I72" s="3"/>
    </x:row>
    <x:row r="73" ht="22" customHeight="1">
      <x:c r="C73" s="2"/>
      <x:c r="D73" s="3"/>
      <x:c r="E73" s="3"/>
      <x:c r="F73" s="3"/>
      <x:c r="G73" s="3"/>
      <x:c r="H73" s="3"/>
      <x:c r="I73" s="3"/>
    </x:row>
    <x:row r="74" ht="22" customHeight="1">
      <x:c r="C74" s="2"/>
      <x:c r="D74" s="3"/>
      <x:c r="E74" s="3"/>
      <x:c r="F74" s="3"/>
      <x:c r="G74" s="3"/>
      <x:c r="H74" s="3"/>
      <x:c r="I74" s="3"/>
    </x:row>
    <x:row r="75" ht="22" customHeight="1">
      <x:c r="C75" s="2"/>
      <x:c r="D75" s="3"/>
      <x:c r="E75" s="3"/>
      <x:c r="F75" s="3"/>
      <x:c r="G75" s="3"/>
      <x:c r="H75" s="3"/>
      <x:c r="I75" s="3"/>
    </x:row>
    <x:row r="76" ht="22" customHeight="1">
      <x:c r="C76" s="2"/>
      <x:c r="D76" s="3"/>
      <x:c r="E76" s="3"/>
      <x:c r="F76" s="3"/>
      <x:c r="G76" s="3"/>
      <x:c r="H76" s="3"/>
      <x:c r="I76" s="3"/>
    </x:row>
    <x:row r="77" ht="22" customHeight="1">
      <x:c r="C77" s="2"/>
      <x:c r="D77" s="3"/>
      <x:c r="E77" s="3"/>
      <x:c r="F77" s="3"/>
      <x:c r="G77" s="3"/>
      <x:c r="H77" s="3"/>
      <x:c r="I77" s="3"/>
    </x:row>
    <x:row r="78" ht="22" customHeight="1">
      <x:c r="C78" s="2"/>
      <x:c r="D78" s="3"/>
      <x:c r="E78" s="3"/>
      <x:c r="F78" s="3"/>
      <x:c r="G78" s="3"/>
      <x:c r="H78" s="3"/>
      <x:c r="I78" s="3"/>
    </x:row>
    <x:row r="79" ht="22" customHeight="1">
      <x:c r="C79" s="2"/>
      <x:c r="D79" s="3"/>
      <x:c r="E79" s="3"/>
      <x:c r="F79" s="3"/>
      <x:c r="G79" s="3"/>
      <x:c r="H79" s="3"/>
      <x:c r="I79" s="3"/>
    </x:row>
    <x:row r="80" ht="22" customHeight="1">
      <x:c r="C80" s="2"/>
      <x:c r="D80" s="3"/>
      <x:c r="E80" s="3"/>
      <x:c r="F80" s="3"/>
      <x:c r="G80" s="3"/>
      <x:c r="H80" s="3"/>
      <x:c r="I80" s="3"/>
    </x:row>
    <x:row r="81" ht="22" customHeight="1">
      <x:c r="C81" s="2"/>
      <x:c r="D81" s="3"/>
      <x:c r="E81" s="3"/>
      <x:c r="F81" s="3"/>
      <x:c r="G81" s="3"/>
      <x:c r="H81" s="3"/>
      <x:c r="I81" s="3"/>
    </x:row>
    <x:row r="82" ht="22" customHeight="1">
      <x:c r="C82" s="2"/>
      <x:c r="D82" s="3"/>
      <x:c r="E82" s="3"/>
      <x:c r="F82" s="3"/>
      <x:c r="G82" s="3"/>
      <x:c r="H82" s="3"/>
      <x:c r="I82" s="3"/>
    </x:row>
    <x:row r="83" ht="22" customHeight="1">
      <x:c r="C83" s="2"/>
      <x:c r="D83" s="3"/>
      <x:c r="E83" s="3"/>
      <x:c r="F83" s="3"/>
      <x:c r="G83" s="3"/>
      <x:c r="H83" s="3"/>
      <x:c r="I83" s="3"/>
    </x:row>
    <x:row r="84" ht="22" customHeight="1">
      <x:c r="C84" s="2"/>
      <x:c r="D84" s="3"/>
      <x:c r="E84" s="3"/>
      <x:c r="F84" s="3"/>
      <x:c r="G84" s="3"/>
      <x:c r="H84" s="3"/>
      <x:c r="I84" s="3"/>
    </x:row>
    <x:row r="85" ht="22" customHeight="1">
      <x:c r="C85" s="2"/>
      <x:c r="D85" s="3"/>
      <x:c r="E85" s="3"/>
      <x:c r="F85" s="3"/>
      <x:c r="G85" s="3"/>
      <x:c r="H85" s="3"/>
      <x:c r="I85" s="3"/>
    </x:row>
    <x:row r="86" ht="22" customHeight="1">
      <x:c r="C86" s="2"/>
      <x:c r="D86" s="3"/>
      <x:c r="E86" s="3"/>
      <x:c r="F86" s="3"/>
      <x:c r="G86" s="3"/>
      <x:c r="H86" s="3"/>
      <x:c r="I86" s="3"/>
    </x:row>
    <x:row r="87" ht="22" customHeight="1">
      <x:c r="C87" s="2"/>
      <x:c r="D87" s="3"/>
      <x:c r="E87" s="3"/>
      <x:c r="F87" s="3"/>
      <x:c r="G87" s="3"/>
      <x:c r="H87" s="3"/>
      <x:c r="I87" s="3"/>
    </x:row>
    <x:row r="88" ht="22" customHeight="1">
      <x:c r="C88" s="2"/>
      <x:c r="D88" s="3"/>
      <x:c r="E88" s="3"/>
      <x:c r="F88" s="3"/>
      <x:c r="G88" s="3"/>
      <x:c r="H88" s="3"/>
      <x:c r="I88" s="3"/>
    </x:row>
    <x:row r="89" ht="22" customHeight="1">
      <x:c r="C89" s="2"/>
      <x:c r="D89" s="3"/>
      <x:c r="E89" s="3"/>
      <x:c r="F89" s="3"/>
      <x:c r="G89" s="3"/>
      <x:c r="H89" s="3"/>
      <x:c r="I89" s="3"/>
    </x:row>
    <x:row r="90" ht="22" customHeight="1">
      <x:c r="C90" s="2"/>
      <x:c r="D90" s="3"/>
      <x:c r="E90" s="3"/>
      <x:c r="F90" s="3"/>
      <x:c r="G90" s="3"/>
      <x:c r="H90" s="3"/>
      <x:c r="I90" s="3"/>
    </x:row>
    <x:row r="91" ht="22" customHeight="1">
      <x:c r="C91" s="2"/>
      <x:c r="D91" s="3"/>
      <x:c r="E91" s="3"/>
      <x:c r="F91" s="3"/>
      <x:c r="G91" s="3"/>
      <x:c r="H91" s="3"/>
      <x:c r="I91" s="3"/>
    </x:row>
    <x:row r="92" ht="22" customHeight="1">
      <x:c r="C92" s="2"/>
      <x:c r="D92" s="3"/>
      <x:c r="E92" s="3"/>
      <x:c r="F92" s="3"/>
      <x:c r="G92" s="3"/>
      <x:c r="H92" s="3"/>
      <x:c r="I92" s="3"/>
    </x:row>
    <x:row r="93" ht="22" customHeight="1">
      <x:c r="C93" s="2"/>
      <x:c r="D93" s="3"/>
      <x:c r="E93" s="3"/>
      <x:c r="F93" s="3"/>
      <x:c r="G93" s="3"/>
      <x:c r="H93" s="3"/>
      <x:c r="I93" s="3"/>
    </x:row>
    <x:row r="94" ht="22" customHeight="1">
      <x:c r="C94" s="2"/>
      <x:c r="D94" s="3"/>
      <x:c r="E94" s="3"/>
      <x:c r="F94" s="3"/>
      <x:c r="G94" s="3"/>
      <x:c r="H94" s="3"/>
      <x:c r="I94" s="3"/>
    </x:row>
    <x:row r="95" ht="22" customHeight="1">
      <x:c r="C95" s="2"/>
      <x:c r="D95" s="3"/>
      <x:c r="E95" s="3"/>
      <x:c r="F95" s="3"/>
      <x:c r="G95" s="3"/>
      <x:c r="H95" s="3"/>
      <x:c r="I95" s="3"/>
    </x:row>
    <x:row r="96" ht="22" customHeight="1">
      <x:c r="C96" s="2"/>
      <x:c r="D96" s="3"/>
      <x:c r="E96" s="3"/>
      <x:c r="F96" s="3"/>
      <x:c r="G96" s="3"/>
      <x:c r="H96" s="3"/>
      <x:c r="I96" s="3"/>
    </x:row>
    <x:row r="97" ht="22" customHeight="1">
      <x:c r="C97" s="2"/>
      <x:c r="D97" s="3"/>
      <x:c r="E97" s="3"/>
      <x:c r="F97" s="3"/>
      <x:c r="G97" s="3"/>
      <x:c r="H97" s="3"/>
      <x:c r="I97" s="3"/>
    </x:row>
    <x:row r="98" ht="22" customHeight="1">
      <x:c r="C98" s="2"/>
      <x:c r="D98" s="3"/>
      <x:c r="E98" s="3"/>
      <x:c r="F98" s="3"/>
      <x:c r="G98" s="3"/>
      <x:c r="H98" s="3"/>
      <x:c r="I98" s="3"/>
    </x:row>
    <x:row r="99" ht="22" customHeight="1">
      <x:c r="C99" s="2"/>
      <x:c r="D99" s="3"/>
      <x:c r="E99" s="3"/>
      <x:c r="F99" s="3"/>
      <x:c r="G99" s="3"/>
      <x:c r="H99" s="3"/>
      <x:c r="I99" s="3"/>
    </x:row>
    <x:row r="100" ht="22" customHeight="1">
      <x:c r="C100" s="2"/>
      <x:c r="D100" s="3"/>
      <x:c r="E100" s="3"/>
      <x:c r="F100" s="3"/>
      <x:c r="G100" s="3"/>
      <x:c r="H100" s="3"/>
      <x:c r="I100" s="3"/>
    </x:row>
  </x:sheetData>
  <x:mergeCells>
    <x:mergeCell ref="C1:I1"/>
    <x:mergeCell ref="C2:I2"/>
    <x:mergeCell ref="C31:I31"/>
    <x:mergeCell ref="C34:I34"/>
  </x:mergeCells>
  <x:pageMargins left="0.7" right="0.7" top="0.75" bottom="0.75" header="0.3" footer="0.3"/>
</x:worksheet>
</file>

<file path=xl/worksheets/sheet5.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2" hidden="0" customWidth="1"/>
    <x:col min="2" max="2" width="2" hidden="0" customWidth="1"/>
    <x:col min="3" max="3" width="43"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ht="32" customHeight="1">
      <x:c r="C1" s="4" t="str">
        <x:v>Core Molding financing</x:v>
      </x:c>
      <x:c r="D1" s="4"/>
      <x:c r="E1" s="4"/>
      <x:c r="F1" s="4"/>
      <x:c r="G1" s="4"/>
      <x:c r="H1" s="4"/>
      <x:c r="I1" s="4"/>
    </x:row>
    <x:row r="2" ht="24" customHeight="1">
      <x:c r="C2" s="5" t="str">
        <x:v>Independent investment case | USD millions unless stated | Prepared October 1, 2026</x:v>
      </x:c>
      <x:c r="D2" s="5"/>
      <x:c r="E2" s="5"/>
      <x:c r="F2" s="5"/>
      <x:c r="G2" s="5"/>
      <x:c r="H2" s="5"/>
      <x:c r="I2" s="5"/>
    </x:row>
    <x:row r="3" ht="22" customHeight="1">
      <x:c r="C3" s="2"/>
      <x:c r="D3" s="2"/>
      <x:c r="E3" s="2"/>
      <x:c r="F3" s="2"/>
      <x:c r="G3" s="2"/>
      <x:c r="H3" s="2"/>
      <x:c r="I3" s="2"/>
    </x:row>
    <x:row r="4" ht="22" customHeight="1">
      <x:c r="C4" s="2"/>
      <x:c r="D4" s="2"/>
      <x:c r="E4" s="2"/>
      <x:c r="F4" s="2"/>
      <x:c r="G4" s="2"/>
      <x:c r="H4" s="2"/>
      <x:c r="I4" s="2"/>
    </x:row>
    <x:row r="5" ht="22" customHeight="1">
      <x:c r="C5" s="2"/>
      <x:c r="D5" s="2"/>
      <x:c r="E5" s="2"/>
      <x:c r="F5" s="2"/>
      <x:c r="G5" s="2"/>
      <x:c r="H5" s="2"/>
      <x:c r="I5" s="2"/>
    </x:row>
    <x:row r="6" ht="30" customHeight="1">
      <x:c r="C6" s="37" t="str">
        <x:v>Sources and uses</x:v>
      </x:c>
      <x:c r="D6" s="37" t="str">
        <x:v>Sponsor equity</x:v>
      </x:c>
      <x:c r="E6" s="37" t="str">
        <x:v>Seller financing</x:v>
      </x:c>
      <x:c r="F6" s="2"/>
      <x:c r="G6" s="2"/>
      <x:c r="H6" s="2"/>
      <x:c r="I6" s="2"/>
    </x:row>
    <x:row r="7" ht="22" customHeight="1">
      <x:c r="C7" s="2"/>
      <x:c r="D7" s="3"/>
      <x:c r="E7" s="3"/>
      <x:c r="F7" s="3"/>
      <x:c r="G7" s="3"/>
      <x:c r="H7" s="3"/>
      <x:c r="I7" s="3"/>
    </x:row>
    <x:row r="8" ht="22" customHeight="1">
      <x:c r="C8" s="2" t="str">
        <x:v>Entry enterprise value</x:v>
      </x:c>
      <x:c r="D8" s="35" t="n">
        <x:f>'Historical'!G12*'Assumptions'!D8</x:f>
        <x:v>173.826</x:v>
      </x:c>
      <x:c r="E8" s="35" t="n">
        <x:f>'Historical'!G12*'Assumptions'!D8</x:f>
        <x:v>173.826</x:v>
      </x:c>
      <x:c r="F8" s="3"/>
      <x:c r="G8" s="3"/>
      <x:c r="H8" s="3"/>
      <x:c r="I8" s="3"/>
    </x:row>
    <x:row r="9" ht="22" customHeight="1">
      <x:c r="C9" s="2" t="str">
        <x:v>Target cash</x:v>
      </x:c>
      <x:c r="D9" s="35" t="n">
        <x:f>'Historical'!F25</x:f>
        <x:v>12.134</x:v>
      </x:c>
      <x:c r="E9" s="35" t="n">
        <x:f>'Historical'!F25</x:f>
        <x:v>12.134</x:v>
      </x:c>
      <x:c r="F9" s="3"/>
      <x:c r="G9" s="3"/>
      <x:c r="H9" s="3"/>
      <x:c r="I9" s="3"/>
    </x:row>
    <x:row r="10" ht="22" customHeight="1">
      <x:c r="C10" s="2" t="str">
        <x:v>Target term debt</x:v>
      </x:c>
      <x:c r="D10" s="35" t="n">
        <x:f>'Historical'!F26</x:f>
        <x:v>0</x:v>
      </x:c>
      <x:c r="E10" s="35" t="n">
        <x:f>'Historical'!F26</x:f>
        <x:v>0</x:v>
      </x:c>
      <x:c r="F10" s="3"/>
      <x:c r="G10" s="3"/>
      <x:c r="H10" s="3"/>
      <x:c r="I10" s="3"/>
    </x:row>
    <x:row r="11" ht="22" customHeight="1">
      <x:c r="C11" s="2" t="str">
        <x:v>Purchase equity value</x:v>
      </x:c>
      <x:c r="D11" s="3" t="n">
        <x:f>SUM(D8:D9)-D10</x:f>
        <x:v>185.95999999999998</x:v>
      </x:c>
      <x:c r="E11" s="3" t="n">
        <x:f>SUM(E8:E9)-E10</x:f>
        <x:v>185.95999999999998</x:v>
      </x:c>
      <x:c r="F11" s="3"/>
      <x:c r="G11" s="3"/>
      <x:c r="H11" s="3"/>
      <x:c r="I11" s="3"/>
    </x:row>
    <x:row r="12" ht="22" customHeight="1">
      <x:c r="C12" s="2" t="str">
        <x:v>Transaction fees</x:v>
      </x:c>
      <x:c r="D12" s="35" t="n">
        <x:f>D8*'Assumptions'!D12</x:f>
        <x:v>3.47652</x:v>
      </x:c>
      <x:c r="E12" s="35" t="n">
        <x:f>E8*'Assumptions'!D12</x:f>
        <x:v>3.47652</x:v>
      </x:c>
      <x:c r="F12" s="3"/>
      <x:c r="G12" s="3"/>
      <x:c r="H12" s="3"/>
      <x:c r="I12" s="3"/>
    </x:row>
    <x:row r="13" ht="22" customHeight="1">
      <x:c r="C13" s="2" t="str">
        <x:v>Financing fees</x:v>
      </x:c>
      <x:c r="D13" s="35" t="n">
        <x:f>D18*'Assumptions'!D13</x:f>
        <x:v>1.0864124999999998</x:v>
      </x:c>
      <x:c r="E13" s="35" t="n">
        <x:f>E18*'Assumptions'!D13</x:f>
        <x:v>1.0864124999999998</x:v>
      </x:c>
      <x:c r="F13" s="3"/>
      <x:c r="G13" s="3"/>
      <x:c r="H13" s="3"/>
      <x:c r="I13" s="3"/>
    </x:row>
    <x:row r="14" ht="22" customHeight="1">
      <x:c r="C14" s="2" t="str">
        <x:v>Debt payoff and cash reserve top-up</x:v>
      </x:c>
      <x:c r="D14" s="35" t="n">
        <x:f>D10+MAX('Assumptions'!D11-D9,0)</x:f>
        <x:v>0</x:v>
      </x:c>
      <x:c r="E14" s="35" t="n">
        <x:f>E10+MAX('Assumptions'!D11-E9,0)</x:f>
        <x:v>0</x:v>
      </x:c>
      <x:c r="F14" s="3"/>
      <x:c r="G14" s="3"/>
      <x:c r="H14" s="3"/>
      <x:c r="I14" s="3"/>
    </x:row>
    <x:row r="15" ht="22" customHeight="1">
      <x:c r="C15" s="12" t="str">
        <x:v>Total uses</x:v>
      </x:c>
      <x:c r="D15" s="13" t="n">
        <x:f>SUM(D11:D14)</x:f>
        <x:v>190.52293249999997</x:v>
      </x:c>
      <x:c r="E15" s="13" t="n">
        <x:f>SUM(E11:E14)</x:f>
        <x:v>190.52293249999997</x:v>
      </x:c>
      <x:c r="F15" s="3"/>
      <x:c r="G15" s="3"/>
      <x:c r="H15" s="3"/>
      <x:c r="I15" s="3"/>
    </x:row>
    <x:row r="16" ht="22" customHeight="1">
      <x:c r="C16" s="2"/>
      <x:c r="D16" s="3"/>
      <x:c r="E16" s="3"/>
      <x:c r="F16" s="3"/>
      <x:c r="G16" s="3"/>
      <x:c r="H16" s="3"/>
      <x:c r="I16" s="3"/>
    </x:row>
    <x:row r="17" ht="22" customHeight="1">
      <x:c r="C17" s="2" t="str">
        <x:v>Target cash available above reserve</x:v>
      </x:c>
      <x:c r="D17" s="35" t="n">
        <x:f>MAX(D9-'Assumptions'!D11,0)</x:f>
        <x:v>0.13400000000000034</x:v>
      </x:c>
      <x:c r="E17" s="35" t="n">
        <x:f>MAX(E9-'Assumptions'!D11,0)</x:f>
        <x:v>0.13400000000000034</x:v>
      </x:c>
      <x:c r="F17" s="3"/>
      <x:c r="G17" s="3"/>
      <x:c r="H17" s="3"/>
      <x:c r="I17" s="3"/>
    </x:row>
    <x:row r="18" ht="22" customHeight="1">
      <x:c r="C18" s="2" t="str">
        <x:v>New senior loan</x:v>
      </x:c>
      <x:c r="D18" s="35" t="n">
        <x:f>'Historical'!G12*'Assumptions'!D9</x:f>
        <x:v>72.4275</x:v>
      </x:c>
      <x:c r="E18" s="35" t="n">
        <x:f>'Historical'!G12*'Assumptions'!D9</x:f>
        <x:v>72.4275</x:v>
      </x:c>
      <x:c r="F18" s="3"/>
      <x:c r="G18" s="3"/>
      <x:c r="H18" s="3"/>
      <x:c r="I18" s="3"/>
    </x:row>
    <x:row r="19" ht="22" customHeight="1">
      <x:c r="C19" s="2" t="str">
        <x:v>New seller note</x:v>
      </x:c>
      <x:c r="D19" s="3" t="n">
        <x:f>0</x:f>
        <x:v>0</x:v>
      </x:c>
      <x:c r="E19" s="35" t="n">
        <x:f>'Historical'!G12*'Assumptions'!D10</x:f>
        <x:v>28.971</x:v>
      </x:c>
      <x:c r="F19" s="3"/>
      <x:c r="G19" s="3"/>
      <x:c r="H19" s="3"/>
      <x:c r="I19" s="3"/>
    </x:row>
    <x:row r="20" ht="22" customHeight="1">
      <x:c r="C20" s="12" t="str">
        <x:v>Initial sponsor equity</x:v>
      </x:c>
      <x:c r="D20" s="13" t="n">
        <x:f>D15-SUM(D17:D19)</x:f>
        <x:v>117.96143249999997</x:v>
      </x:c>
      <x:c r="E20" s="13" t="n">
        <x:f>E15-SUM(E17:E19)</x:f>
        <x:v>88.99043249999997</x:v>
      </x:c>
      <x:c r="F20" s="3"/>
      <x:c r="G20" s="3"/>
      <x:c r="H20" s="3"/>
      <x:c r="I20" s="3"/>
    </x:row>
    <x:row r="21" ht="22" customHeight="1">
      <x:c r="C21" s="12" t="str">
        <x:v>Total sources</x:v>
      </x:c>
      <x:c r="D21" s="13" t="n">
        <x:f>SUM(D17:D20)</x:f>
        <x:v>190.52293249999997</x:v>
      </x:c>
      <x:c r="E21" s="13" t="n">
        <x:f>SUM(E17:E20)</x:f>
        <x:v>190.52293249999997</x:v>
      </x:c>
      <x:c r="F21" s="3"/>
      <x:c r="G21" s="3"/>
      <x:c r="H21" s="3"/>
      <x:c r="I21" s="3"/>
    </x:row>
    <x:row r="22" ht="22" customHeight="1">
      <x:c r="C22" s="2" t="str">
        <x:v>Sources less uses</x:v>
      </x:c>
      <x:c r="D22" s="3" t="n">
        <x:f>D21-D15</x:f>
        <x:v>0</x:v>
      </x:c>
      <x:c r="E22" s="3" t="n">
        <x:f>E21-E15</x:f>
        <x:v>0</x:v>
      </x:c>
      <x:c r="F22" s="3"/>
      <x:c r="G22" s="3"/>
      <x:c r="H22" s="3"/>
      <x:c r="I22" s="3"/>
    </x:row>
    <x:row r="23" ht="22" customHeight="1">
      <x:c r="C23" s="2"/>
      <x:c r="D23" s="3"/>
      <x:c r="E23" s="3"/>
      <x:c r="F23" s="3"/>
      <x:c r="G23" s="3"/>
      <x:c r="H23" s="3"/>
      <x:c r="I23" s="3"/>
    </x:row>
    <x:row r="24" ht="22" customHeight="1">
      <x:c r="C24" s="2"/>
      <x:c r="D24" s="3"/>
      <x:c r="E24" s="3"/>
      <x:c r="F24" s="3"/>
      <x:c r="G24" s="3"/>
      <x:c r="H24" s="3"/>
      <x:c r="I24" s="3"/>
    </x:row>
    <x:row r="25" ht="22" customHeight="1">
      <x:c r="C25" s="2"/>
      <x:c r="D25" s="3"/>
      <x:c r="E25" s="3"/>
      <x:c r="F25" s="3"/>
      <x:c r="G25" s="3"/>
      <x:c r="H25" s="3"/>
      <x:c r="I25" s="3"/>
    </x:row>
    <x:row r="26" ht="22" customHeight="1">
      <x:c r="C26" s="2"/>
      <x:c r="D26" s="3"/>
      <x:c r="E26" s="3"/>
      <x:c r="F26" s="3"/>
      <x:c r="G26" s="3"/>
      <x:c r="H26" s="3"/>
      <x:c r="I26" s="3"/>
    </x:row>
    <x:row r="27" ht="22" customHeight="1">
      <x:c r="C27" s="2"/>
      <x:c r="D27" s="3"/>
      <x:c r="E27" s="3"/>
      <x:c r="F27" s="3"/>
      <x:c r="G27" s="3"/>
      <x:c r="H27" s="3"/>
      <x:c r="I27" s="3"/>
    </x:row>
    <x:row r="28" ht="24" customHeight="1">
      <x:c r="C28" s="7" t="str">
        <x:v>Sponsor equity structure</x:v>
      </x:c>
      <x:c r="D28" s="15"/>
      <x:c r="E28" s="15"/>
      <x:c r="F28" s="15"/>
      <x:c r="G28" s="15"/>
      <x:c r="H28" s="15"/>
      <x:c r="I28" s="3"/>
    </x:row>
    <x:row r="29" ht="25" customHeight="1">
      <x:c r="C29" s="7" t="str">
        <x:v>Year ending September 30</x:v>
      </x:c>
      <x:c r="D29" s="30" t="n">
        <x:f>'Assumptions'!D21</x:f>
        <x:v>46660</x:v>
      </x:c>
      <x:c r="E29" s="30" t="n">
        <x:f>'Assumptions'!E21</x:f>
        <x:v>47026</x:v>
      </x:c>
      <x:c r="F29" s="30" t="n">
        <x:f>'Assumptions'!F21</x:f>
        <x:v>47391</x:v>
      </x:c>
      <x:c r="G29" s="30" t="n">
        <x:f>'Assumptions'!G21</x:f>
        <x:v>47756</x:v>
      </x:c>
      <x:c r="H29" s="30" t="n">
        <x:f>'Assumptions'!H21</x:f>
        <x:v>48121</x:v>
      </x:c>
      <x:c r="I29" s="3"/>
    </x:row>
    <x:row r="30" ht="22" customHeight="1">
      <x:c r="C30" s="2" t="str">
        <x:v>Opening senior debt</x:v>
      </x:c>
      <x:c r="D30" s="3" t="n">
        <x:f>$D$18</x:f>
        <x:v>72.4275</x:v>
      </x:c>
      <x:c r="E30" s="3" t="n">
        <x:f>D40</x:f>
        <x:v>68.806125</x:v>
      </x:c>
      <x:c r="F30" s="3" t="n">
        <x:f>E40</x:f>
        <x:v>63.11186384999999</x:v>
      </x:c>
      <x:c r="G30" s="3" t="n">
        <x:f>F40</x:f>
        <x:v>49.81233349623999</x:v>
      </x:c>
      <x:c r="H30" s="3" t="n">
        <x:f>G40</x:f>
        <x:v>34.539603187326186</x:v>
      </x:c>
      <x:c r="I30" s="3"/>
    </x:row>
    <x:row r="31" ht="22" customHeight="1">
      <x:c r="C31" s="2" t="str">
        <x:v>Senior cash interest</x:v>
      </x:c>
      <x:c r="D31" s="35" t="n">
        <x:f>D30*'Assumptions'!D33</x:f>
        <x:v>5.7942</x:v>
      </x:c>
      <x:c r="E31" s="35" t="n">
        <x:f>E30*'Assumptions'!E33</x:f>
        <x:v>5.50449</x:v>
      </x:c>
      <x:c r="F31" s="35" t="n">
        <x:f>F30*'Assumptions'!F33</x:f>
        <x:v>5.0489491079999995</x:v>
      </x:c>
      <x:c r="G31" s="35" t="n">
        <x:f>G30*'Assumptions'!G33</x:f>
        <x:v>3.984986679699199</x:v>
      </x:c>
      <x:c r="H31" s="35" t="n">
        <x:f>H30*'Assumptions'!H33</x:f>
        <x:v>2.7631682549860948</x:v>
      </x:c>
      <x:c r="I31" s="3"/>
    </x:row>
    <x:row r="32" ht="22" customHeight="1">
      <x:c r="C32" s="2" t="str">
        <x:v>Mandatory senior principal</x:v>
      </x:c>
      <x:c r="D32" s="35" t="n">
        <x:f>MIN(D30,$D$18*'Assumptions'!D34)</x:f>
        <x:v>3.621375</x:v>
      </x:c>
      <x:c r="E32" s="35" t="n">
        <x:f>MIN(E30,$D$18*'Assumptions'!E34)</x:f>
        <x:v>3.621375</x:v>
      </x:c>
      <x:c r="F32" s="35" t="n">
        <x:f>MIN(F30,$D$18*'Assumptions'!F34)</x:f>
        <x:v>3.621375</x:v>
      </x:c>
      <x:c r="G32" s="35" t="n">
        <x:f>MIN(G30,$D$18*'Assumptions'!G34)</x:f>
        <x:v>3.621375</x:v>
      </x:c>
      <x:c r="H32" s="35" t="n">
        <x:f>MIN(H30,$D$18*'Assumptions'!H34)</x:f>
        <x:v>3.621375</x:v>
      </x:c>
      <x:c r="I32" s="3"/>
    </x:row>
    <x:row r="33" ht="22" customHeight="1">
      <x:c r="C33" s="2" t="str">
        <x:v>Opening seller note</x:v>
      </x:c>
      <x:c r="D33" s="3" t="n">
        <x:f>$D$19</x:f>
        <x:v>0</x:v>
      </x:c>
      <x:c r="E33" s="3" t="n">
        <x:f>D41</x:f>
        <x:v>0</x:v>
      </x:c>
      <x:c r="F33" s="3" t="n">
        <x:f>E41</x:f>
        <x:v>0</x:v>
      </x:c>
      <x:c r="G33" s="3" t="n">
        <x:f>F41</x:f>
        <x:v>0</x:v>
      </x:c>
      <x:c r="H33" s="3" t="n">
        <x:f>G41</x:f>
        <x:v>0</x:v>
      </x:c>
      <x:c r="I33" s="3"/>
    </x:row>
    <x:row r="34" ht="22" customHeight="1">
      <x:c r="C34" s="2" t="str">
        <x:v>Seller note cash interest</x:v>
      </x:c>
      <x:c r="D34" s="35" t="n">
        <x:f>D33*'Assumptions'!D35</x:f>
        <x:v>0</x:v>
      </x:c>
      <x:c r="E34" s="35" t="n">
        <x:f>E33*'Assumptions'!E35</x:f>
        <x:v>0</x:v>
      </x:c>
      <x:c r="F34" s="35" t="n">
        <x:f>F33*'Assumptions'!F35</x:f>
        <x:v>0</x:v>
      </x:c>
      <x:c r="G34" s="35" t="n">
        <x:f>G33*'Assumptions'!G35</x:f>
        <x:v>0</x:v>
      </x:c>
      <x:c r="H34" s="35" t="n">
        <x:f>H33*'Assumptions'!H35</x:f>
        <x:v>0</x:v>
      </x:c>
      <x:c r="I34" s="3"/>
    </x:row>
    <x:row r="35" ht="22" customHeight="1">
      <x:c r="C35" s="2" t="str">
        <x:v>Seller note PIK interest</x:v>
      </x:c>
      <x:c r="D35" s="35" t="n">
        <x:f>D33*'Assumptions'!D36</x:f>
        <x:v>0</x:v>
      </x:c>
      <x:c r="E35" s="35" t="n">
        <x:f>E33*'Assumptions'!E36</x:f>
        <x:v>0</x:v>
      </x:c>
      <x:c r="F35" s="35" t="n">
        <x:f>F33*'Assumptions'!F36</x:f>
        <x:v>0</x:v>
      </x:c>
      <x:c r="G35" s="35" t="n">
        <x:f>G33*'Assumptions'!G36</x:f>
        <x:v>0</x:v>
      </x:c>
      <x:c r="H35" s="35" t="n">
        <x:f>H33*'Assumptions'!H36</x:f>
        <x:v>0</x:v>
      </x:c>
      <x:c r="I35" s="3"/>
    </x:row>
    <x:row r="36" ht="22" customHeight="1">
      <x:c r="C36" s="2" t="str">
        <x:v>Cash taxes</x:v>
      </x:c>
      <x:c r="D36" s="35" t="n">
        <x:f>MAX('Operating'!D20-D31-D34,0)*'Assumptions'!D32</x:f>
        <x:v>2.0270928600000016</x:v>
      </x:c>
      <x:c r="E36" s="35" t="n">
        <x:f>MAX('Operating'!E20-E31-E34,0)*'Assumptions'!E32</x:f>
        <x:v>3.0661351500000014</x:v>
      </x:c>
      <x:c r="F36" s="35" t="n">
        <x:f>MAX('Operating'!F20-F31-F34,0)*'Assumptions'!F32</x:f>
        <x:v>4.170202926240002</x:v>
      </x:c>
      <x:c r="G36" s="35" t="n">
        <x:f>MAX('Operating'!G20-G31-G34,0)*'Assumptions'!G32</x:f>
        <x:v>4.969224697627012</x:v>
      </x:c>
      <x:c r="H36" s="35" t="n">
        <x:f>MAX('Operating'!H20-H31-H34,0)*'Assumptions'!H32</x:f>
        <x:v>5.735085126130755</x:v>
      </x:c>
      <x:c r="I36" s="3"/>
    </x:row>
    <x:row r="37" ht="22" customHeight="1">
      <x:c r="C37" s="2" t="str">
        <x:v>Cash flow before principal</x:v>
      </x:c>
      <x:c r="D37" s="35" t="n">
        <x:f>'Operating'!D18-D36-D31-D34-'Operating'!D26-'Operating'!D24</x:f>
        <x:v>-10.058147859999995</x:v>
      </x:c>
      <x:c r="E37" s="35" t="n">
        <x:f>'Operating'!E18-E36-E31-E34-'Operating'!E26-'Operating'!E24</x:f>
        <x:v>5.694261149999999</x:v>
      </x:c>
      <x:c r="F37" s="35" t="n">
        <x:f>'Operating'!F18-F36-F31-F34-'Operating'!F26-'Operating'!F24</x:f>
        <x:v>13.299530353760009</x:v>
      </x:c>
      <x:c r="G37" s="35" t="n">
        <x:f>'Operating'!G18-G36-G31-G34-'Operating'!G26-'Operating'!G24</x:f>
        <x:v>15.2727303089138</x:v>
      </x:c>
      <x:c r="H37" s="35" t="n">
        <x:f>'Operating'!H18-H36-H31-H34-'Operating'!H26-'Operating'!H24</x:f>
        <x:v>17.767196651331176</x:v>
      </x:c>
      <x:c r="I37" s="3"/>
    </x:row>
    <x:row r="38" ht="22" customHeight="1">
      <x:c r="C38" s="12" t="str">
        <x:v>Additional sponsor equity</x:v>
      </x:c>
      <x:c r="D38" s="13" t="n">
        <x:f>MAX(D32-D37,0)</x:f>
        <x:v>13.679522859999995</x:v>
      </x:c>
      <x:c r="E38" s="13" t="n">
        <x:f>MAX(E32-E37,0)</x:f>
        <x:v>0</x:v>
      </x:c>
      <x:c r="F38" s="13" t="n">
        <x:f>MAX(F32-F37,0)</x:f>
        <x:v>0</x:v>
      </x:c>
      <x:c r="G38" s="13" t="n">
        <x:f>MAX(G32-G37,0)</x:f>
        <x:v>0</x:v>
      </x:c>
      <x:c r="H38" s="13" t="n">
        <x:f>MAX(H32-H37,0)</x:f>
        <x:v>0</x:v>
      </x:c>
      <x:c r="I38" s="3"/>
    </x:row>
    <x:row r="39" ht="22" customHeight="1">
      <x:c r="C39" s="2" t="str">
        <x:v>Optional senior principal sweep</x:v>
      </x:c>
      <x:c r="D39" s="3" t="n">
        <x:f>MIN(MAX(D37-D32,0),D30-D32)</x:f>
        <x:v>0</x:v>
      </x:c>
      <x:c r="E39" s="3" t="n">
        <x:f>MIN(MAX(E37-E32,0),E30-E32)</x:f>
        <x:v>2.072886149999999</x:v>
      </x:c>
      <x:c r="F39" s="3" t="n">
        <x:f>MIN(MAX(F37-F32,0),F30-F32)</x:f>
        <x:v>9.678155353760008</x:v>
      </x:c>
      <x:c r="G39" s="3" t="n">
        <x:f>MIN(MAX(G37-G32,0),G30-G32)</x:f>
        <x:v>11.6513553089138</x:v>
      </x:c>
      <x:c r="H39" s="3" t="n">
        <x:f>MIN(MAX(H37-H32,0),H30-H32)</x:f>
        <x:v>14.145821651331175</x:v>
      </x:c>
      <x:c r="I39" s="3"/>
    </x:row>
    <x:row r="40" ht="22" customHeight="1">
      <x:c r="C40" s="12" t="str">
        <x:v>Closing senior debt</x:v>
      </x:c>
      <x:c r="D40" s="13" t="n">
        <x:f>D30-D32-D39</x:f>
        <x:v>68.806125</x:v>
      </x:c>
      <x:c r="E40" s="13" t="n">
        <x:f>E30-E32-E39</x:f>
        <x:v>63.11186384999999</x:v>
      </x:c>
      <x:c r="F40" s="13" t="n">
        <x:f>F30-F32-F39</x:f>
        <x:v>49.81233349623999</x:v>
      </x:c>
      <x:c r="G40" s="13" t="n">
        <x:f>G30-G32-G39</x:f>
        <x:v>34.539603187326186</x:v>
      </x:c>
      <x:c r="H40" s="13" t="n">
        <x:f>H30-H32-H39</x:f>
        <x:v>16.77240653599501</x:v>
      </x:c>
      <x:c r="I40" s="3"/>
    </x:row>
    <x:row r="41" ht="22" customHeight="1">
      <x:c r="C41" s="12" t="str">
        <x:v>Closing seller note</x:v>
      </x:c>
      <x:c r="D41" s="13" t="n">
        <x:f>D33+D35</x:f>
        <x:v>0</x:v>
      </x:c>
      <x:c r="E41" s="13" t="n">
        <x:f>E33+E35</x:f>
        <x:v>0</x:v>
      </x:c>
      <x:c r="F41" s="13" t="n">
        <x:f>F33+F35</x:f>
        <x:v>0</x:v>
      </x:c>
      <x:c r="G41" s="13" t="n">
        <x:f>G33+G35</x:f>
        <x:v>0</x:v>
      </x:c>
      <x:c r="H41" s="13" t="n">
        <x:f>H33+H35</x:f>
        <x:v>0</x:v>
      </x:c>
      <x:c r="I41" s="3"/>
    </x:row>
    <x:row r="42" ht="22" customHeight="1">
      <x:c r="C42" s="12" t="str">
        <x:v>Closing cash</x:v>
      </x:c>
      <x:c r="D42" s="39" t="n">
        <x:f>'Assumptions'!D11+MAX(D37-D32-D39,0)</x:f>
        <x:v>12</x:v>
      </x:c>
      <x:c r="E42" s="13" t="n">
        <x:f>D42+MAX(E37-E32-E39,0)</x:f>
        <x:v>12</x:v>
      </x:c>
      <x:c r="F42" s="13" t="n">
        <x:f>E42+MAX(F37-F32-F39,0)</x:f>
        <x:v>12</x:v>
      </x:c>
      <x:c r="G42" s="13" t="n">
        <x:f>F42+MAX(G37-G32-G39,0)</x:f>
        <x:v>12</x:v>
      </x:c>
      <x:c r="H42" s="13" t="n">
        <x:f>G42+MAX(H37-H32-H39,0)</x:f>
        <x:v>12</x:v>
      </x:c>
      <x:c r="I42" s="3"/>
    </x:row>
    <x:row r="43" ht="22" customHeight="1">
      <x:c r="C43" s="2" t="str">
        <x:v>Cash debt-service coverage</x:v>
      </x:c>
      <x:c r="D43" s="40" t="n">
        <x:f>IF(SUM(D31,D34,D32)=0,"n.m.",('Operating'!D18-D36-'Operating'!D26-'Operating'!D24)/SUM(D31,D34,D32))</x:f>
        <x:v>-0.45286112213008706</x:v>
      </x:c>
      <x:c r="E43" s="40" t="n">
        <x:f>IF(SUM(E31,E34,E32)=0,"n.m.",('Operating'!E18-E36-'Operating'!E26-'Operating'!E24)/SUM(E31,E34,E32))</x:f>
        <x:v>1.2271440734659127</x:v>
      </x:c>
      <x:c r="F43" s="40" t="n">
        <x:f>IF(SUM(F31,F34,F32)=0,"n.m.",('Operating'!F18-F36-'Operating'!F26-'Operating'!F24)/SUM(F31,F34,F32))</x:f>
        <x:v>2.116239166287924</x:v>
      </x:c>
      <x:c r="G43" s="40" t="n">
        <x:f>IF(SUM(G31,G34,G32)=0,"n.m.",('Operating'!G18-G36-'Operating'!G26-'Operating'!G24)/SUM(G31,G34,G32))</x:f>
        <x:v>2.531790861327352</x:v>
      </x:c>
      <x:c r="H43" s="40" t="n">
        <x:f>IF(SUM(H31,H34,H32)=0,"n.m.",('Operating'!H18-H36-'Operating'!H26-'Operating'!H24)/SUM(H31,H34,H32))</x:f>
        <x:v>3.2156356510363997</x:v>
      </x:c>
      <x:c r="I43" s="3"/>
    </x:row>
    <x:row r="44" ht="22" customHeight="1">
      <x:c r="C44" s="2" t="str">
        <x:v>Total closing debt</x:v>
      </x:c>
      <x:c r="D44" s="3" t="n">
        <x:f>SUM(D40:D41)</x:f>
        <x:v>68.806125</x:v>
      </x:c>
      <x:c r="E44" s="3" t="n">
        <x:f>SUM(E40:E41)</x:f>
        <x:v>63.11186384999999</x:v>
      </x:c>
      <x:c r="F44" s="3" t="n">
        <x:f>SUM(F40:F41)</x:f>
        <x:v>49.81233349623999</x:v>
      </x:c>
      <x:c r="G44" s="3" t="n">
        <x:f>SUM(G40:G41)</x:f>
        <x:v>34.539603187326186</x:v>
      </x:c>
      <x:c r="H44" s="3" t="n">
        <x:f>SUM(H40:H41)</x:f>
        <x:v>16.77240653599501</x:v>
      </x:c>
      <x:c r="I44" s="3"/>
    </x:row>
    <x:row r="45" ht="22" customHeight="1">
      <x:c r="C45" s="2" t="str">
        <x:v>Debt / adjusted EBITDA</x:v>
      </x:c>
      <x:c r="D45" s="40" t="n">
        <x:f>D44/'Operating'!D15</x:f>
        <x:v>2.2066384592723183</x:v>
      </x:c>
      <x:c r="E45" s="40" t="n">
        <x:f>E44/'Operating'!E15</x:f>
        <x:v>1.7964798622462</x:v>
      </x:c>
      <x:c r="F45" s="40" t="n">
        <x:f>F44/'Operating'!F15</x:f>
        <x:v>1.2755318803589826</x:v>
      </x:c>
      <x:c r="G45" s="40" t="n">
        <x:f>G44/'Operating'!G15</x:f>
        <x:v>0.8209983863994105</x:v>
      </x:c>
      <x:c r="H45" s="40" t="n">
        <x:f>H44/'Operating'!H15</x:f>
        <x:v>0.3768490902848346</x:v>
      </x:c>
      <x:c r="I45" s="3"/>
    </x:row>
    <x:row r="46" ht="22" customHeight="1">
      <x:c r="C46" s="2" t="str">
        <x:v>Cash roll-forward residual</x:v>
      </x:c>
      <x:c r="D46" s="35" t="n">
        <x:f>'Assumptions'!D11+D37+D38-D32-D39-D42</x:f>
        <x:v>0</x:v>
      </x:c>
      <x:c r="E46" s="3" t="n">
        <x:f>D42+E37+E38-E32-E39-E42</x:f>
        <x:v>0</x:v>
      </x:c>
      <x:c r="F46" s="3" t="n">
        <x:f>E42+F37+F38-F32-F39-F42</x:f>
        <x:v>0</x:v>
      </x:c>
      <x:c r="G46" s="3" t="n">
        <x:f>F42+G37+G38-G32-G39-G42</x:f>
        <x:v>0</x:v>
      </x:c>
      <x:c r="H46" s="3" t="n">
        <x:f>G42+H37+H38-H32-H39-H42</x:f>
        <x:v>0</x:v>
      </x:c>
      <x:c r="I46" s="3"/>
    </x:row>
    <x:row r="47" ht="22" customHeight="1">
      <x:c r="C47" s="2" t="str">
        <x:v>Debt roll-forward residual</x:v>
      </x:c>
      <x:c r="D47" s="3" t="n">
        <x:f>SUM(D30,D33,D35)-D32-D39-D44</x:f>
        <x:v>0</x:v>
      </x:c>
      <x:c r="E47" s="3" t="n">
        <x:f>SUM(E30,E33,E35)-E32-E39-E44</x:f>
        <x:v>0</x:v>
      </x:c>
      <x:c r="F47" s="3" t="n">
        <x:f>SUM(F30,F33,F35)-F32-F39-F44</x:f>
        <x:v>0</x:v>
      </x:c>
      <x:c r="G47" s="3" t="n">
        <x:f>SUM(G30,G33,G35)-G32-G39-G44</x:f>
        <x:v>0</x:v>
      </x:c>
      <x:c r="H47" s="3" t="n">
        <x:f>SUM(H30,H33,H35)-H32-H39-H44</x:f>
        <x:v>0</x:v>
      </x:c>
      <x:c r="I47" s="3"/>
    </x:row>
    <x:row r="48" ht="22" customHeight="1">
      <x:c r="C48" s="2"/>
      <x:c r="D48" s="3"/>
      <x:c r="E48" s="3"/>
      <x:c r="F48" s="3"/>
      <x:c r="G48" s="3"/>
      <x:c r="H48" s="3"/>
      <x:c r="I48" s="3"/>
    </x:row>
    <x:row r="49" ht="22" customHeight="1">
      <x:c r="C49" s="2"/>
      <x:c r="D49" s="3"/>
      <x:c r="E49" s="3"/>
      <x:c r="F49" s="3"/>
      <x:c r="G49" s="3"/>
      <x:c r="H49" s="3"/>
      <x:c r="I49" s="3"/>
    </x:row>
    <x:row r="50" ht="22" customHeight="1">
      <x:c r="C50" s="2"/>
      <x:c r="D50" s="3"/>
      <x:c r="E50" s="3"/>
      <x:c r="F50" s="3"/>
      <x:c r="G50" s="3"/>
      <x:c r="H50" s="3"/>
      <x:c r="I50" s="3"/>
    </x:row>
    <x:row r="51" ht="22" customHeight="1">
      <x:c r="C51" s="2"/>
      <x:c r="D51" s="3"/>
      <x:c r="E51" s="3"/>
      <x:c r="F51" s="3"/>
      <x:c r="G51" s="3"/>
      <x:c r="H51" s="3"/>
      <x:c r="I51" s="3"/>
    </x:row>
    <x:row r="52" ht="22" customHeight="1">
      <x:c r="C52" s="2"/>
      <x:c r="D52" s="3"/>
      <x:c r="E52" s="3"/>
      <x:c r="F52" s="3"/>
      <x:c r="G52" s="3"/>
      <x:c r="H52" s="3"/>
      <x:c r="I52" s="3"/>
    </x:row>
    <x:row r="53" ht="22" customHeight="1">
      <x:c r="C53" s="2"/>
      <x:c r="D53" s="3"/>
      <x:c r="E53" s="3"/>
      <x:c r="F53" s="3"/>
      <x:c r="G53" s="3"/>
      <x:c r="H53" s="3"/>
      <x:c r="I53" s="3"/>
    </x:row>
    <x:row r="54" ht="24" customHeight="1">
      <x:c r="C54" s="7" t="str">
        <x:v>Seller-financed structure</x:v>
      </x:c>
      <x:c r="D54" s="15"/>
      <x:c r="E54" s="15"/>
      <x:c r="F54" s="15"/>
      <x:c r="G54" s="15"/>
      <x:c r="H54" s="15"/>
      <x:c r="I54" s="3"/>
    </x:row>
    <x:row r="55" ht="25" customHeight="1">
      <x:c r="C55" s="7" t="str">
        <x:v>Year ending September 30</x:v>
      </x:c>
      <x:c r="D55" s="30" t="n">
        <x:f>'Assumptions'!D21</x:f>
        <x:v>46660</x:v>
      </x:c>
      <x:c r="E55" s="30" t="n">
        <x:f>'Assumptions'!E21</x:f>
        <x:v>47026</x:v>
      </x:c>
      <x:c r="F55" s="30" t="n">
        <x:f>'Assumptions'!F21</x:f>
        <x:v>47391</x:v>
      </x:c>
      <x:c r="G55" s="30" t="n">
        <x:f>'Assumptions'!G21</x:f>
        <x:v>47756</x:v>
      </x:c>
      <x:c r="H55" s="30" t="n">
        <x:f>'Assumptions'!H21</x:f>
        <x:v>48121</x:v>
      </x:c>
      <x:c r="I55" s="3"/>
    </x:row>
    <x:row r="56" ht="22" customHeight="1">
      <x:c r="C56" s="2" t="str">
        <x:v>Opening senior debt</x:v>
      </x:c>
      <x:c r="D56" s="3" t="n">
        <x:f>$E$18</x:f>
        <x:v>72.4275</x:v>
      </x:c>
      <x:c r="E56" s="3" t="n">
        <x:f>D66</x:f>
        <x:v>68.806125</x:v>
      </x:c>
      <x:c r="F56" s="3" t="n">
        <x:f>E66</x:f>
        <x:v>64.003707114</x:v>
      </x:c>
      <x:c r="G56" s="3" t="n">
        <x:f>F66</x:f>
        <x:v>51.68449087602879</x:v>
      </x:c>
      <x:c r="H56" s="3" t="n">
        <x:f>G66</x:f>
        <x:v>37.487209958340884</x:v>
      </x:c>
      <x:c r="I56" s="3"/>
    </x:row>
    <x:row r="57" ht="22" customHeight="1">
      <x:c r="C57" s="2" t="str">
        <x:v>Senior cash interest</x:v>
      </x:c>
      <x:c r="D57" s="35" t="n">
        <x:f>D56*'Assumptions'!D33</x:f>
        <x:v>5.7942</x:v>
      </x:c>
      <x:c r="E57" s="35" t="n">
        <x:f>E56*'Assumptions'!E33</x:f>
        <x:v>5.50449</x:v>
      </x:c>
      <x:c r="F57" s="35" t="n">
        <x:f>F56*'Assumptions'!F33</x:f>
        <x:v>5.12029656912</x:v>
      </x:c>
      <x:c r="G57" s="35" t="n">
        <x:f>G56*'Assumptions'!G33</x:f>
        <x:v>4.134759270082303</x:v>
      </x:c>
      <x:c r="H57" s="35" t="n">
        <x:f>H56*'Assumptions'!H33</x:f>
        <x:v>2.9989767966672707</x:v>
      </x:c>
      <x:c r="I57" s="3"/>
    </x:row>
    <x:row r="58" ht="22" customHeight="1">
      <x:c r="C58" s="2" t="str">
        <x:v>Mandatory senior principal</x:v>
      </x:c>
      <x:c r="D58" s="35" t="n">
        <x:f>MIN(D56,$E$18*'Assumptions'!D34)</x:f>
        <x:v>3.621375</x:v>
      </x:c>
      <x:c r="E58" s="35" t="n">
        <x:f>MIN(E56,$E$18*'Assumptions'!E34)</x:f>
        <x:v>3.621375</x:v>
      </x:c>
      <x:c r="F58" s="35" t="n">
        <x:f>MIN(F56,$E$18*'Assumptions'!F34)</x:f>
        <x:v>3.621375</x:v>
      </x:c>
      <x:c r="G58" s="35" t="n">
        <x:f>MIN(G56,$E$18*'Assumptions'!G34)</x:f>
        <x:v>3.621375</x:v>
      </x:c>
      <x:c r="H58" s="35" t="n">
        <x:f>MIN(H56,$E$18*'Assumptions'!H34)</x:f>
        <x:v>3.621375</x:v>
      </x:c>
      <x:c r="I58" s="3"/>
    </x:row>
    <x:row r="59" ht="22" customHeight="1">
      <x:c r="C59" s="2" t="str">
        <x:v>Opening seller note</x:v>
      </x:c>
      <x:c r="D59" s="3" t="n">
        <x:f>$E$19</x:f>
        <x:v>28.971</x:v>
      </x:c>
      <x:c r="E59" s="3" t="n">
        <x:f>D67</x:f>
        <x:v>30.12984</x:v>
      </x:c>
      <x:c r="F59" s="3" t="n">
        <x:f>E67</x:f>
        <x:v>31.335033600000003</x:v>
      </x:c>
      <x:c r="G59" s="3" t="n">
        <x:f>F67</x:f>
        <x:v>32.588434944</x:v>
      </x:c>
      <x:c r="H59" s="3" t="n">
        <x:f>G67</x:f>
        <x:v>33.89197234176</x:v>
      </x:c>
      <x:c r="I59" s="3"/>
    </x:row>
    <x:row r="60" ht="22" customHeight="1">
      <x:c r="C60" s="2" t="str">
        <x:v>Seller note cash interest</x:v>
      </x:c>
      <x:c r="D60" s="35" t="n">
        <x:f>D59*'Assumptions'!D35</x:f>
        <x:v>1.15884</x:v>
      </x:c>
      <x:c r="E60" s="35" t="n">
        <x:f>E59*'Assumptions'!E35</x:f>
        <x:v>1.2051936</x:v>
      </x:c>
      <x:c r="F60" s="35" t="n">
        <x:f>F59*'Assumptions'!F35</x:f>
        <x:v>1.253401344</x:v>
      </x:c>
      <x:c r="G60" s="35" t="n">
        <x:f>G59*'Assumptions'!G35</x:f>
        <x:v>1.30353739776</x:v>
      </x:c>
      <x:c r="H60" s="35" t="n">
        <x:f>H59*'Assumptions'!H35</x:f>
        <x:v>1.3556788936704</x:v>
      </x:c>
      <x:c r="I60" s="3"/>
    </x:row>
    <x:row r="61" ht="22" customHeight="1">
      <x:c r="C61" s="2" t="str">
        <x:v>Seller note PIK interest</x:v>
      </x:c>
      <x:c r="D61" s="35" t="n">
        <x:f>D59*'Assumptions'!D36</x:f>
        <x:v>1.15884</x:v>
      </x:c>
      <x:c r="E61" s="35" t="n">
        <x:f>E59*'Assumptions'!E36</x:f>
        <x:v>1.2051936</x:v>
      </x:c>
      <x:c r="F61" s="35" t="n">
        <x:f>F59*'Assumptions'!F36</x:f>
        <x:v>1.253401344</x:v>
      </x:c>
      <x:c r="G61" s="35" t="n">
        <x:f>G59*'Assumptions'!G36</x:f>
        <x:v>1.30353739776</x:v>
      </x:c>
      <x:c r="H61" s="35" t="n">
        <x:f>H59*'Assumptions'!H36</x:f>
        <x:v>1.3556788936704</x:v>
      </x:c>
      <x:c r="I61" s="3"/>
    </x:row>
    <x:row r="62" ht="22" customHeight="1">
      <x:c r="C62" s="2" t="str">
        <x:v>Cash taxes</x:v>
      </x:c>
      <x:c r="D62" s="35" t="n">
        <x:f>MAX('Operating'!D20-D57-D60,0)*'Assumptions'!D32</x:f>
        <x:v>1.7257944600000017</x:v>
      </x:c>
      <x:c r="E62" s="35" t="n">
        <x:f>MAX('Operating'!E20-E57-E60,0)*'Assumptions'!E32</x:f>
        <x:v>2.7527848140000013</x:v>
      </x:c>
      <x:c r="F62" s="35" t="n">
        <x:f>MAX('Operating'!F20-F57-F60,0)*'Assumptions'!F32</x:f>
        <x:v>3.8257682369088015</x:v>
      </x:c>
      <x:c r="G62" s="35" t="n">
        <x:f>MAX('Operating'!G20-G57-G60,0)*'Assumptions'!G32</x:f>
        <x:v>4.5913641007098045</x:v>
      </x:c>
      <x:c r="H62" s="35" t="n">
        <x:f>MAX('Operating'!H20-H57-H60,0)*'Assumptions'!H32</x:f>
        <x:v>5.321298392939346</x:v>
      </x:c>
      <x:c r="I62" s="3"/>
    </x:row>
    <x:row r="63" ht="22" customHeight="1">
      <x:c r="C63" s="2" t="str">
        <x:v>Cash flow before principal</x:v>
      </x:c>
      <x:c r="D63" s="35" t="n">
        <x:f>'Operating'!D18-D62-D57-D60-'Operating'!D26-'Operating'!D24</x:f>
        <x:v>-10.915689459999996</x:v>
      </x:c>
      <x:c r="E63" s="35" t="n">
        <x:f>'Operating'!E18-E62-E57-E60-'Operating'!E26-'Operating'!E24</x:f>
        <x:v>4.802417885999997</x:v>
      </x:c>
      <x:c r="F63" s="35" t="n">
        <x:f>'Operating'!F18-F62-F57-F60-'Operating'!F26-'Operating'!F24</x:f>
        <x:v>12.319216237971208</x:v>
      </x:c>
      <x:c r="G63" s="35" t="n">
        <x:f>'Operating'!G18-G62-G57-G60-'Operating'!G26-'Operating'!G24</x:f>
        <x:v>14.197280917687905</x:v>
      </x:c>
      <x:c r="H63" s="35" t="n">
        <x:f>'Operating'!H18-H62-H57-H60-'Operating'!H26-'Operating'!H24</x:f>
        <x:v>16.589495949171003</x:v>
      </x:c>
      <x:c r="I63" s="3"/>
    </x:row>
    <x:row r="64" ht="22" customHeight="1">
      <x:c r="C64" s="12" t="str">
        <x:v>Additional sponsor equity</x:v>
      </x:c>
      <x:c r="D64" s="13" t="n">
        <x:f>MAX(D58-D63,0)</x:f>
        <x:v>14.537064459999996</x:v>
      </x:c>
      <x:c r="E64" s="13" t="n">
        <x:f>MAX(E58-E63,0)</x:f>
        <x:v>0</x:v>
      </x:c>
      <x:c r="F64" s="13" t="n">
        <x:f>MAX(F58-F63,0)</x:f>
        <x:v>0</x:v>
      </x:c>
      <x:c r="G64" s="13" t="n">
        <x:f>MAX(G58-G63,0)</x:f>
        <x:v>0</x:v>
      </x:c>
      <x:c r="H64" s="13" t="n">
        <x:f>MAX(H58-H63,0)</x:f>
        <x:v>0</x:v>
      </x:c>
      <x:c r="I64" s="3"/>
    </x:row>
    <x:row r="65" ht="22" customHeight="1">
      <x:c r="C65" s="2" t="str">
        <x:v>Optional senior principal sweep</x:v>
      </x:c>
      <x:c r="D65" s="3" t="n">
        <x:f>MIN(MAX(D63-D58,0),D56-D58)</x:f>
        <x:v>0</x:v>
      </x:c>
      <x:c r="E65" s="3" t="n">
        <x:f>MIN(MAX(E63-E58,0),E56-E58)</x:f>
        <x:v>1.181042885999997</x:v>
      </x:c>
      <x:c r="F65" s="3" t="n">
        <x:f>MIN(MAX(F63-F58,0),F56-F58)</x:f>
        <x:v>8.697841237971208</x:v>
      </x:c>
      <x:c r="G65" s="3" t="n">
        <x:f>MIN(MAX(G63-G58,0),G56-G58)</x:f>
        <x:v>10.575905917687905</x:v>
      </x:c>
      <x:c r="H65" s="3" t="n">
        <x:f>MIN(MAX(H63-H58,0),H56-H58)</x:f>
        <x:v>12.968120949171002</x:v>
      </x:c>
      <x:c r="I65" s="3"/>
    </x:row>
    <x:row r="66" ht="22" customHeight="1">
      <x:c r="C66" s="12" t="str">
        <x:v>Closing senior debt</x:v>
      </x:c>
      <x:c r="D66" s="13" t="n">
        <x:f>D56-D58-D65</x:f>
        <x:v>68.806125</x:v>
      </x:c>
      <x:c r="E66" s="13" t="n">
        <x:f>E56-E58-E65</x:f>
        <x:v>64.003707114</x:v>
      </x:c>
      <x:c r="F66" s="13" t="n">
        <x:f>F56-F58-F65</x:f>
        <x:v>51.68449087602879</x:v>
      </x:c>
      <x:c r="G66" s="13" t="n">
        <x:f>G56-G58-G65</x:f>
        <x:v>37.487209958340884</x:v>
      </x:c>
      <x:c r="H66" s="13" t="n">
        <x:f>H56-H58-H65</x:f>
        <x:v>20.89771400916988</x:v>
      </x:c>
      <x:c r="I66" s="3"/>
    </x:row>
    <x:row r="67" ht="22" customHeight="1">
      <x:c r="C67" s="12" t="str">
        <x:v>Closing seller note</x:v>
      </x:c>
      <x:c r="D67" s="13" t="n">
        <x:f>D59+D61</x:f>
        <x:v>30.12984</x:v>
      </x:c>
      <x:c r="E67" s="13" t="n">
        <x:f>E59+E61</x:f>
        <x:v>31.335033600000003</x:v>
      </x:c>
      <x:c r="F67" s="13" t="n">
        <x:f>F59+F61</x:f>
        <x:v>32.588434944</x:v>
      </x:c>
      <x:c r="G67" s="13" t="n">
        <x:f>G59+G61</x:f>
        <x:v>33.89197234176</x:v>
      </x:c>
      <x:c r="H67" s="13" t="n">
        <x:f>H59+H61</x:f>
        <x:v>35.2476512354304</x:v>
      </x:c>
      <x:c r="I67" s="3"/>
    </x:row>
    <x:row r="68" ht="22" customHeight="1">
      <x:c r="C68" s="12" t="str">
        <x:v>Closing cash</x:v>
      </x:c>
      <x:c r="D68" s="39" t="n">
        <x:f>'Assumptions'!D11+MAX(D63-D58-D65,0)</x:f>
        <x:v>12</x:v>
      </x:c>
      <x:c r="E68" s="13" t="n">
        <x:f>D68+MAX(E63-E58-E65,0)</x:f>
        <x:v>12</x:v>
      </x:c>
      <x:c r="F68" s="13" t="n">
        <x:f>E68+MAX(F63-F58-F65,0)</x:f>
        <x:v>12</x:v>
      </x:c>
      <x:c r="G68" s="13" t="n">
        <x:f>F68+MAX(G63-G58-G65,0)</x:f>
        <x:v>12</x:v>
      </x:c>
      <x:c r="H68" s="13" t="n">
        <x:f>G68+MAX(H63-H58-H65,0)</x:f>
        <x:v>12</x:v>
      </x:c>
      <x:c r="I68" s="3"/>
    </x:row>
    <x:row r="69" ht="22" customHeight="1">
      <x:c r="C69" s="2" t="str">
        <x:v>Cash debt-service coverage</x:v>
      </x:c>
      <x:c r="D69" s="40" t="n">
        <x:f>IF(SUM(D57,D60,D58)=0,"n.m.",('Operating'!D18-D62-'Operating'!D26-'Operating'!D24)/SUM(D57,D60,D58))</x:f>
        <x:v>-0.37473935532131036</x:v>
      </x:c>
      <x:c r="E69" s="40" t="n">
        <x:f>IF(SUM(E57,E60,E58)=0,"n.m.",('Operating'!E18-E62-'Operating'!E26-'Operating'!E24)/SUM(E57,E60,E58))</x:f>
        <x:v>1.1143196386476792</x:v>
      </x:c>
      <x:c r="F69" s="40" t="n">
        <x:f>IF(SUM(F57,F60,F58)=0,"n.m.",('Operating'!F18-F62-'Operating'!F26-'Operating'!F24)/SUM(F57,F60,F58))</x:f>
        <x:v>1.8702128852460913</x:v>
      </x:c>
      <x:c r="G69" s="40" t="n">
        <x:f>IF(SUM(G57,G60,G58)=0,"n.m.",('Operating'!G18-G62-'Operating'!G26-'Operating'!G24)/SUM(G57,G60,G58))</x:f>
        <x:v>2.1673608388290204</x:v>
      </x:c>
      <x:c r="H69" s="40" t="n">
        <x:f>IF(SUM(H57,H60,H58)=0,"n.m.",('Operating'!H18-H62-'Operating'!H26-'Operating'!H24)/SUM(H57,H60,H58))</x:f>
        <x:v>2.6258865408931857</x:v>
      </x:c>
      <x:c r="I69" s="3"/>
    </x:row>
    <x:row r="70" ht="22" customHeight="1">
      <x:c r="C70" s="2" t="str">
        <x:v>Total closing debt</x:v>
      </x:c>
      <x:c r="D70" s="3" t="n">
        <x:f>SUM(D66:D67)</x:f>
        <x:v>98.935965</x:v>
      </x:c>
      <x:c r="E70" s="3" t="n">
        <x:f>SUM(E66:E67)</x:f>
        <x:v>95.338740714</x:v>
      </x:c>
      <x:c r="F70" s="3" t="n">
        <x:f>SUM(F66:F67)</x:f>
        <x:v>84.27292582002879</x:v>
      </x:c>
      <x:c r="G70" s="3" t="n">
        <x:f>SUM(G66:G67)</x:f>
        <x:v>71.3791823001009</x:v>
      </x:c>
      <x:c r="H70" s="3" t="n">
        <x:f>SUM(H66:H67)</x:f>
        <x:v>56.145365244600285</x:v>
      </x:c>
      <x:c r="I70" s="3"/>
    </x:row>
    <x:row r="71" ht="22" customHeight="1">
      <x:c r="C71" s="2" t="str">
        <x:v>Debt / adjusted EBITDA</x:v>
      </x:c>
      <x:c r="D71" s="40" t="n">
        <x:f>D70/'Operating'!D15</x:f>
        <x:v>3.1729138267010386</x:v>
      </x:c>
      <x:c r="E71" s="40" t="n">
        <x:f>E70/'Operating'!E15</x:f>
        <x:v>2.713818248050567</x:v>
      </x:c>
      <x:c r="F71" s="40" t="n">
        <x:f>F70/'Operating'!F15</x:f>
        <x:v>2.157955590309543</x:v>
      </x:c>
      <x:c r="G71" s="40" t="n">
        <x:f>G70/'Operating'!G15</x:f>
        <x:v>1.696666669071503</x:v>
      </x:c>
      <x:c r="H71" s="40" t="n">
        <x:f>H70/'Operating'!H15</x:f>
        <x:v>1.2614963613438426</x:v>
      </x:c>
      <x:c r="I71" s="3"/>
    </x:row>
    <x:row r="72" ht="22" customHeight="1">
      <x:c r="C72" s="2" t="str">
        <x:v>Cash roll-forward residual</x:v>
      </x:c>
      <x:c r="D72" s="35" t="n">
        <x:f>'Assumptions'!D11+D63+D64-D58-D65-D68</x:f>
        <x:v>0</x:v>
      </x:c>
      <x:c r="E72" s="3" t="n">
        <x:f>D68+E63+E64-E58-E65-E68</x:f>
        <x:v>0</x:v>
      </x:c>
      <x:c r="F72" s="3" t="n">
        <x:f>E68+F63+F64-F58-F65-F68</x:f>
        <x:v>0</x:v>
      </x:c>
      <x:c r="G72" s="3" t="n">
        <x:f>F68+G63+G64-G58-G65-G68</x:f>
        <x:v>0</x:v>
      </x:c>
      <x:c r="H72" s="3" t="n">
        <x:f>G68+H63+H64-H58-H65-H68</x:f>
        <x:v>0</x:v>
      </x:c>
      <x:c r="I72" s="3"/>
    </x:row>
    <x:row r="73" ht="22" customHeight="1">
      <x:c r="C73" s="2" t="str">
        <x:v>Debt roll-forward residual</x:v>
      </x:c>
      <x:c r="D73" s="3" t="n">
        <x:f>SUM(D56,D59,D61)-D58-D65-D70</x:f>
        <x:v>0</x:v>
      </x:c>
      <x:c r="E73" s="3" t="n">
        <x:f>SUM(E56,E59,E61)-E58-E65-E70</x:f>
        <x:v>0</x:v>
      </x:c>
      <x:c r="F73" s="3" t="n">
        <x:f>SUM(F56,F59,F61)-F58-F65-F70</x:f>
        <x:v>0</x:v>
      </x:c>
      <x:c r="G73" s="3" t="n">
        <x:f>SUM(G56,G59,G61)-G58-G65-G70</x:f>
        <x:v>-1.4210854715202004e-14</x:v>
      </x:c>
      <x:c r="H73" s="3" t="n">
        <x:f>SUM(H56,H59,H61)-H58-H65-H70</x:f>
        <x:v>7.105427357601002e-15</x:v>
      </x:c>
      <x:c r="I73" s="3"/>
    </x:row>
    <x:row r="74" ht="22" customHeight="1">
      <x:c r="C74" s="2"/>
      <x:c r="D74" s="3"/>
      <x:c r="E74" s="3"/>
      <x:c r="F74" s="3"/>
      <x:c r="G74" s="3"/>
      <x:c r="H74" s="3"/>
      <x:c r="I74" s="3"/>
    </x:row>
    <x:row r="75" ht="22" customHeight="1">
      <x:c r="C75" s="2"/>
      <x:c r="D75" s="3"/>
      <x:c r="E75" s="3"/>
      <x:c r="F75" s="3"/>
      <x:c r="G75" s="3"/>
      <x:c r="H75" s="3"/>
      <x:c r="I75" s="3"/>
    </x:row>
    <x:row r="76" ht="22" customHeight="1">
      <x:c r="C76" s="2"/>
      <x:c r="D76" s="3"/>
      <x:c r="E76" s="3"/>
      <x:c r="F76" s="3"/>
      <x:c r="G76" s="3"/>
      <x:c r="H76" s="3"/>
      <x:c r="I76" s="3"/>
    </x:row>
    <x:row r="77" ht="46" customHeight="1">
      <x:c r="C77" s="19" t="str">
        <x:v>Cash shortfalls and scheduled amortization are funded with additional sponsor equity, included in the return calculation. Interest uses opening balances. Excess cash sweeps senior debt first. Seller principal and PIK remain outstanding until exit.</x:v>
      </x:c>
      <x:c r="D77" s="20"/>
      <x:c r="E77" s="20"/>
      <x:c r="F77" s="20"/>
      <x:c r="G77" s="20"/>
      <x:c r="H77" s="20"/>
      <x:c r="I77" s="20"/>
    </x:row>
    <x:row r="78" ht="22" customHeight="1">
      <x:c r="C78" s="2"/>
      <x:c r="D78" s="3"/>
      <x:c r="E78" s="3"/>
      <x:c r="F78" s="3"/>
      <x:c r="G78" s="3"/>
      <x:c r="H78" s="3"/>
      <x:c r="I78" s="3"/>
    </x:row>
    <x:row r="79" ht="22" customHeight="1">
      <x:c r="C79" s="2"/>
      <x:c r="D79" s="3"/>
      <x:c r="E79" s="3"/>
      <x:c r="F79" s="3"/>
      <x:c r="G79" s="3"/>
      <x:c r="H79" s="3"/>
      <x:c r="I79" s="3"/>
    </x:row>
    <x:row r="80" ht="42" customHeight="1">
      <x:c r="C80" s="19" t="str">
        <x:v>Lease costs remain in operating earnings. Operating leases are excluded from acquisition debt to match the EBITDA convention. No interest deduction is taken for PIK. All financing terms are illustrative.</x:v>
      </x:c>
      <x:c r="D80" s="20"/>
      <x:c r="E80" s="20"/>
      <x:c r="F80" s="20"/>
      <x:c r="G80" s="20"/>
      <x:c r="H80" s="20"/>
      <x:c r="I80" s="20"/>
    </x:row>
    <x:row r="81" ht="22" customHeight="1">
      <x:c r="C81" s="2"/>
      <x:c r="D81" s="3"/>
      <x:c r="E81" s="3"/>
      <x:c r="F81" s="3"/>
      <x:c r="G81" s="3"/>
      <x:c r="H81" s="3"/>
      <x:c r="I81" s="3"/>
    </x:row>
    <x:row r="82" ht="22" customHeight="1">
      <x:c r="C82" s="2"/>
      <x:c r="D82" s="3"/>
      <x:c r="E82" s="3"/>
      <x:c r="F82" s="3"/>
      <x:c r="G82" s="3"/>
      <x:c r="H82" s="3"/>
      <x:c r="I82" s="3"/>
    </x:row>
    <x:row r="83" ht="22" customHeight="1">
      <x:c r="C83" s="2"/>
      <x:c r="D83" s="3"/>
      <x:c r="E83" s="3"/>
      <x:c r="F83" s="3"/>
      <x:c r="G83" s="3"/>
      <x:c r="H83" s="3"/>
      <x:c r="I83" s="3"/>
    </x:row>
    <x:row r="84" ht="22" customHeight="1">
      <x:c r="C84" s="2"/>
      <x:c r="D84" s="3"/>
      <x:c r="E84" s="3"/>
      <x:c r="F84" s="3"/>
      <x:c r="G84" s="3"/>
      <x:c r="H84" s="3"/>
      <x:c r="I84" s="3"/>
    </x:row>
    <x:row r="85" ht="22" customHeight="1">
      <x:c r="C85" s="2"/>
      <x:c r="D85" s="3"/>
      <x:c r="E85" s="3"/>
      <x:c r="F85" s="3"/>
      <x:c r="G85" s="3"/>
      <x:c r="H85" s="3"/>
      <x:c r="I85" s="3"/>
    </x:row>
    <x:row r="86" ht="22" customHeight="1">
      <x:c r="C86" s="2"/>
      <x:c r="D86" s="3"/>
      <x:c r="E86" s="3"/>
      <x:c r="F86" s="3"/>
      <x:c r="G86" s="3"/>
      <x:c r="H86" s="3"/>
      <x:c r="I86" s="3"/>
    </x:row>
    <x:row r="87" ht="22" customHeight="1">
      <x:c r="C87" s="2"/>
      <x:c r="D87" s="3"/>
      <x:c r="E87" s="3"/>
      <x:c r="F87" s="3"/>
      <x:c r="G87" s="3"/>
      <x:c r="H87" s="3"/>
      <x:c r="I87" s="3"/>
    </x:row>
    <x:row r="88" ht="22" customHeight="1">
      <x:c r="C88" s="2"/>
      <x:c r="D88" s="3"/>
      <x:c r="E88" s="3"/>
      <x:c r="F88" s="3"/>
      <x:c r="G88" s="3"/>
      <x:c r="H88" s="3"/>
      <x:c r="I88" s="3"/>
    </x:row>
    <x:row r="89" ht="22" customHeight="1">
      <x:c r="C89" s="2"/>
      <x:c r="D89" s="3"/>
      <x:c r="E89" s="3"/>
      <x:c r="F89" s="3"/>
      <x:c r="G89" s="3"/>
      <x:c r="H89" s="3"/>
      <x:c r="I89" s="3"/>
    </x:row>
    <x:row r="90" ht="22" customHeight="1">
      <x:c r="C90" s="2"/>
      <x:c r="D90" s="3"/>
      <x:c r="E90" s="3"/>
      <x:c r="F90" s="3"/>
      <x:c r="G90" s="3"/>
      <x:c r="H90" s="3"/>
      <x:c r="I90" s="3"/>
    </x:row>
    <x:row r="91" ht="22" customHeight="1">
      <x:c r="C91" s="2"/>
      <x:c r="D91" s="3"/>
      <x:c r="E91" s="3"/>
      <x:c r="F91" s="3"/>
      <x:c r="G91" s="3"/>
      <x:c r="H91" s="3"/>
      <x:c r="I91" s="3"/>
    </x:row>
    <x:row r="92" ht="22" customHeight="1">
      <x:c r="C92" s="2"/>
      <x:c r="D92" s="3"/>
      <x:c r="E92" s="3"/>
      <x:c r="F92" s="3"/>
      <x:c r="G92" s="3"/>
      <x:c r="H92" s="3"/>
      <x:c r="I92" s="3"/>
    </x:row>
    <x:row r="93" ht="22" customHeight="1">
      <x:c r="C93" s="2"/>
      <x:c r="D93" s="3"/>
      <x:c r="E93" s="3"/>
      <x:c r="F93" s="3"/>
      <x:c r="G93" s="3"/>
      <x:c r="H93" s="3"/>
      <x:c r="I93" s="3"/>
    </x:row>
    <x:row r="94" ht="22" customHeight="1">
      <x:c r="C94" s="2"/>
      <x:c r="D94" s="3"/>
      <x:c r="E94" s="3"/>
      <x:c r="F94" s="3"/>
      <x:c r="G94" s="3"/>
      <x:c r="H94" s="3"/>
      <x:c r="I94" s="3"/>
    </x:row>
    <x:row r="95" ht="22" customHeight="1">
      <x:c r="C95" s="2"/>
      <x:c r="D95" s="3"/>
      <x:c r="E95" s="3"/>
      <x:c r="F95" s="3"/>
      <x:c r="G95" s="3"/>
      <x:c r="H95" s="3"/>
      <x:c r="I95" s="3"/>
    </x:row>
    <x:row r="96" ht="22" customHeight="1">
      <x:c r="C96" s="2"/>
      <x:c r="D96" s="3"/>
      <x:c r="E96" s="3"/>
      <x:c r="F96" s="3"/>
      <x:c r="G96" s="3"/>
      <x:c r="H96" s="3"/>
      <x:c r="I96" s="3"/>
    </x:row>
    <x:row r="97" ht="22" customHeight="1">
      <x:c r="C97" s="2"/>
      <x:c r="D97" s="3"/>
      <x:c r="E97" s="3"/>
      <x:c r="F97" s="3"/>
      <x:c r="G97" s="3"/>
      <x:c r="H97" s="3"/>
      <x:c r="I97" s="3"/>
    </x:row>
    <x:row r="98" ht="22" customHeight="1">
      <x:c r="C98" s="2"/>
      <x:c r="D98" s="3"/>
      <x:c r="E98" s="3"/>
      <x:c r="F98" s="3"/>
      <x:c r="G98" s="3"/>
      <x:c r="H98" s="3"/>
      <x:c r="I98" s="3"/>
    </x:row>
    <x:row r="99" ht="22" customHeight="1">
      <x:c r="C99" s="2"/>
      <x:c r="D99" s="3"/>
      <x:c r="E99" s="3"/>
      <x:c r="F99" s="3"/>
      <x:c r="G99" s="3"/>
      <x:c r="H99" s="3"/>
      <x:c r="I99" s="3"/>
    </x:row>
    <x:row r="100" ht="22" customHeight="1">
      <x:c r="C100" s="2"/>
      <x:c r="D100" s="3"/>
      <x:c r="E100" s="3"/>
      <x:c r="F100" s="3"/>
      <x:c r="G100" s="3"/>
      <x:c r="H100" s="3"/>
      <x:c r="I100" s="3"/>
    </x:row>
  </x:sheetData>
  <x:mergeCells>
    <x:mergeCell ref="C1:I1"/>
    <x:mergeCell ref="C2:I2"/>
    <x:mergeCell ref="C77:I77"/>
    <x:mergeCell ref="C80:I8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43"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ht="32" customHeight="1">
      <x:c r="C1" s="4" t="str">
        <x:v>Core Molding returns</x:v>
      </x:c>
      <x:c r="D1" s="4"/>
      <x:c r="E1" s="4"/>
      <x:c r="F1" s="4"/>
      <x:c r="G1" s="4"/>
      <x:c r="H1" s="4"/>
      <x:c r="I1" s="4"/>
    </x:row>
    <x:row r="2" ht="24" customHeight="1">
      <x:c r="C2" s="5" t="str">
        <x:v>Independent investment case | USD millions unless stated | Prepared October 1, 2026</x:v>
      </x:c>
      <x:c r="D2" s="5"/>
      <x:c r="E2" s="5"/>
      <x:c r="F2" s="5"/>
      <x:c r="G2" s="5"/>
      <x:c r="H2" s="5"/>
      <x:c r="I2" s="5"/>
    </x:row>
    <x:row r="3" ht="22" customHeight="1">
      <x:c r="C3" s="2"/>
      <x:c r="D3" s="2"/>
      <x:c r="E3" s="2"/>
      <x:c r="F3" s="2"/>
      <x:c r="G3" s="2"/>
      <x:c r="H3" s="2"/>
      <x:c r="I3" s="2"/>
    </x:row>
    <x:row r="4" ht="22" customHeight="1">
      <x:c r="C4" s="2"/>
      <x:c r="D4" s="2"/>
      <x:c r="E4" s="2"/>
      <x:c r="F4" s="2"/>
      <x:c r="G4" s="2"/>
      <x:c r="H4" s="2"/>
      <x:c r="I4" s="2"/>
    </x:row>
    <x:row r="5" ht="22" customHeight="1">
      <x:c r="C5" s="2"/>
      <x:c r="D5" s="2"/>
      <x:c r="E5" s="2"/>
      <x:c r="F5" s="2"/>
      <x:c r="G5" s="2"/>
      <x:c r="H5" s="2"/>
      <x:c r="I5" s="2"/>
    </x:row>
    <x:row r="6" ht="32" customHeight="1">
      <x:c r="C6" s="37" t="str">
        <x:v>Structure</x:v>
      </x:c>
      <x:c r="D6" s="37" t="str">
        <x:v>Sponsor equity</x:v>
      </x:c>
      <x:c r="E6" s="37" t="str">
        <x:v>Seller financing</x:v>
      </x:c>
      <x:c r="F6" s="2"/>
      <x:c r="G6" s="2"/>
      <x:c r="H6" s="2"/>
      <x:c r="I6" s="2"/>
    </x:row>
    <x:row r="7" ht="22" customHeight="1">
      <x:c r="C7" s="2"/>
      <x:c r="D7" s="3"/>
      <x:c r="E7" s="3"/>
      <x:c r="F7" s="3"/>
      <x:c r="G7" s="3"/>
      <x:c r="H7" s="3"/>
      <x:c r="I7" s="3"/>
    </x:row>
    <x:row r="8" ht="22" customHeight="1">
      <x:c r="C8" s="2"/>
      <x:c r="D8" s="3"/>
      <x:c r="E8" s="3"/>
      <x:c r="F8" s="3"/>
      <x:c r="G8" s="3"/>
      <x:c r="H8" s="3"/>
      <x:c r="I8" s="3"/>
    </x:row>
    <x:row r="9" ht="22" customHeight="1">
      <x:c r="C9" s="2" t="str">
        <x:v>Investor cash-flow date</x:v>
      </x:c>
      <x:c r="D9" s="41" t="n">
        <x:f>'Assumptions'!D16</x:f>
        <x:v>46295</x:v>
      </x:c>
      <x:c r="E9" s="41" t="n">
        <x:f>'Assumptions'!D21</x:f>
        <x:v>46660</x:v>
      </x:c>
      <x:c r="F9" s="41" t="n">
        <x:f>'Assumptions'!E21</x:f>
        <x:v>47026</x:v>
      </x:c>
      <x:c r="G9" s="41" t="n">
        <x:f>'Assumptions'!F21</x:f>
        <x:v>47391</x:v>
      </x:c>
      <x:c r="H9" s="41" t="n">
        <x:f>'Assumptions'!G21</x:f>
        <x:v>47756</x:v>
      </x:c>
      <x:c r="I9" s="41" t="n">
        <x:f>'Assumptions'!H21</x:f>
        <x:v>48121</x:v>
      </x:c>
    </x:row>
    <x:row r="10" ht="22" customHeight="1">
      <x:c r="C10" s="2" t="str">
        <x:v>Sponsor equity cash flows</x:v>
      </x:c>
      <x:c r="D10" s="35" t="n">
        <x:f>-'Financing'!D20</x:f>
        <x:v>-117.96143249999997</x:v>
      </x:c>
      <x:c r="E10" s="35" t="n">
        <x:f>-'Financing'!D38</x:f>
        <x:v>-13.679522859999995</x:v>
      </x:c>
      <x:c r="F10" s="35" t="n">
        <x:f>-'Financing'!E38</x:f>
        <x:v>0</x:v>
      </x:c>
      <x:c r="G10" s="35" t="n">
        <x:f>-'Financing'!F38</x:f>
        <x:v>0</x:v>
      </x:c>
      <x:c r="H10" s="35" t="n">
        <x:f>-'Financing'!G38</x:f>
        <x:v>0</x:v>
      </x:c>
      <x:c r="I10" s="35" t="n">
        <x:f>-'Financing'!H38+D23</x:f>
        <x:v>259.59892244481335</x:v>
      </x:c>
    </x:row>
    <x:row r="11" ht="22" customHeight="1">
      <x:c r="C11" s="2" t="str">
        <x:v>Seller-financed equity cash flows</x:v>
      </x:c>
      <x:c r="D11" s="35" t="n">
        <x:f>-'Financing'!E20</x:f>
        <x:v>-88.99043249999997</x:v>
      </x:c>
      <x:c r="E11" s="35" t="n">
        <x:f>-'Financing'!D64</x:f>
        <x:v>-14.537064459999996</x:v>
      </x:c>
      <x:c r="F11" s="35" t="n">
        <x:f>-'Financing'!E64</x:f>
        <x:v>0</x:v>
      </x:c>
      <x:c r="G11" s="35" t="n">
        <x:f>-'Financing'!F64</x:f>
        <x:v>0</x:v>
      </x:c>
      <x:c r="H11" s="35" t="n">
        <x:f>-'Financing'!G64</x:f>
        <x:v>0</x:v>
      </x:c>
      <x:c r="I11" s="35" t="n">
        <x:f>-'Financing'!H64+E23</x:f>
        <x:v>220.2259637362081</x:v>
      </x:c>
    </x:row>
    <x:row r="12" ht="22" customHeight="1">
      <x:c r="C12" s="2" t="str">
        <x:v>Seller note lender cash flows</x:v>
      </x:c>
      <x:c r="D12" s="35" t="n">
        <x:f>-'Financing'!E19</x:f>
        <x:v>-28.971</x:v>
      </x:c>
      <x:c r="E12" s="35" t="n">
        <x:f>'Financing'!D60</x:f>
        <x:v>1.15884</x:v>
      </x:c>
      <x:c r="F12" s="35" t="n">
        <x:f>'Financing'!E60</x:f>
        <x:v>1.2051936</x:v>
      </x:c>
      <x:c r="G12" s="35" t="n">
        <x:f>'Financing'!F60</x:f>
        <x:v>1.253401344</x:v>
      </x:c>
      <x:c r="H12" s="35" t="n">
        <x:f>'Financing'!G60</x:f>
        <x:v>1.30353739776</x:v>
      </x:c>
      <x:c r="I12" s="35" t="n">
        <x:f>'Financing'!H60+'Financing'!H67</x:f>
        <x:v>36.603330129100804</x:v>
      </x:c>
    </x:row>
    <x:row r="13" ht="22" customHeight="1">
      <x:c r="C13" s="2"/>
      <x:c r="D13" s="3"/>
      <x:c r="E13" s="3"/>
      <x:c r="F13" s="3"/>
      <x:c r="G13" s="3"/>
      <x:c r="H13" s="3"/>
      <x:c r="I13" s="3"/>
    </x:row>
    <x:row r="14" ht="22" customHeight="1">
      <x:c r="C14" s="2"/>
      <x:c r="D14" s="3"/>
      <x:c r="E14" s="3"/>
      <x:c r="F14" s="3"/>
      <x:c r="G14" s="3"/>
      <x:c r="H14" s="3"/>
      <x:c r="I14" s="3"/>
    </x:row>
    <x:row r="15" ht="22" customHeight="1">
      <x:c r="C15" s="2"/>
      <x:c r="D15" s="3"/>
      <x:c r="E15" s="3"/>
      <x:c r="F15" s="3"/>
      <x:c r="G15" s="3"/>
      <x:c r="H15" s="3"/>
      <x:c r="I15" s="3"/>
    </x:row>
    <x:row r="16" ht="24" customHeight="1">
      <x:c r="C16" s="7" t="str">
        <x:v>Exit equity bridge</x:v>
      </x:c>
      <x:c r="D16" s="15"/>
      <x:c r="E16" s="15"/>
      <x:c r="F16" s="3"/>
      <x:c r="G16" s="3"/>
      <x:c r="H16" s="3"/>
      <x:c r="I16" s="3"/>
    </x:row>
    <x:row r="17" ht="22" customHeight="1">
      <x:c r="C17" s="2"/>
      <x:c r="D17" s="3"/>
      <x:c r="E17" s="3"/>
      <x:c r="F17" s="3"/>
      <x:c r="G17" s="3"/>
      <x:c r="H17" s="3"/>
      <x:c r="I17" s="3"/>
    </x:row>
    <x:row r="18" ht="22" customHeight="1">
      <x:c r="C18" s="2" t="str">
        <x:v>Exit enterprise value</x:v>
      </x:c>
      <x:c r="D18" s="35" t="n">
        <x:f>'Operating'!H15*'Assumptions'!D18</x:f>
        <x:v>267.04174644526097</x:v>
      </x:c>
      <x:c r="E18" s="35" t="n">
        <x:f>'Operating'!H15*'Assumptions'!D18</x:f>
        <x:v>267.04174644526097</x:v>
      </x:c>
      <x:c r="F18" s="3"/>
      <x:c r="G18" s="3"/>
      <x:c r="H18" s="3"/>
      <x:c r="I18" s="3"/>
    </x:row>
    <x:row r="19" ht="22" customHeight="1">
      <x:c r="C19" s="2" t="str">
        <x:v>Exit transaction costs</x:v>
      </x:c>
      <x:c r="D19" s="35" t="n">
        <x:f>D18*'Assumptions'!D14</x:f>
        <x:v>2.6704174644526097</x:v>
      </x:c>
      <x:c r="E19" s="35" t="n">
        <x:f>E18*'Assumptions'!D14</x:f>
        <x:v>2.6704174644526097</x:v>
      </x:c>
      <x:c r="F19" s="3"/>
      <x:c r="G19" s="3"/>
      <x:c r="H19" s="3"/>
      <x:c r="I19" s="3"/>
    </x:row>
    <x:row r="20" ht="22" customHeight="1">
      <x:c r="C20" s="2" t="str">
        <x:v>Exit cash</x:v>
      </x:c>
      <x:c r="D20" s="35" t="n">
        <x:f>'Financing'!H42</x:f>
        <x:v>12</x:v>
      </x:c>
      <x:c r="E20" s="35" t="n">
        <x:f>'Financing'!H68</x:f>
        <x:v>12</x:v>
      </x:c>
      <x:c r="F20" s="3"/>
      <x:c r="G20" s="3"/>
      <x:c r="H20" s="3"/>
      <x:c r="I20" s="3"/>
    </x:row>
    <x:row r="21" ht="22" customHeight="1">
      <x:c r="C21" s="2" t="str">
        <x:v>Senior debt repaid</x:v>
      </x:c>
      <x:c r="D21" s="35" t="n">
        <x:f>'Financing'!H40</x:f>
        <x:v>16.77240653599501</x:v>
      </x:c>
      <x:c r="E21" s="35" t="n">
        <x:f>'Financing'!H66</x:f>
        <x:v>20.89771400916988</x:v>
      </x:c>
      <x:c r="F21" s="3"/>
      <x:c r="G21" s="3"/>
      <x:c r="H21" s="3"/>
      <x:c r="I21" s="3"/>
    </x:row>
    <x:row r="22" ht="22" customHeight="1">
      <x:c r="C22" s="2" t="str">
        <x:v>Seller note repaid (including PIK)</x:v>
      </x:c>
      <x:c r="D22" s="35" t="n">
        <x:f>'Financing'!H41</x:f>
        <x:v>0</x:v>
      </x:c>
      <x:c r="E22" s="35" t="n">
        <x:f>'Financing'!H67</x:f>
        <x:v>35.2476512354304</x:v>
      </x:c>
      <x:c r="F22" s="3"/>
      <x:c r="G22" s="3"/>
      <x:c r="H22" s="3"/>
      <x:c r="I22" s="3"/>
    </x:row>
    <x:row r="23" ht="22" customHeight="1">
      <x:c r="C23" s="12" t="str">
        <x:v>Sponsor equity proceeds</x:v>
      </x:c>
      <x:c r="D23" s="13" t="n">
        <x:f>MAX(D18-D19+D20-SUM(D21:D22),0)</x:f>
        <x:v>259.59892244481335</x:v>
      </x:c>
      <x:c r="E23" s="13" t="n">
        <x:f>MAX(E18-E19+E20-SUM(E21:E22),0)</x:f>
        <x:v>220.2259637362081</x:v>
      </x:c>
      <x:c r="F23" s="3"/>
      <x:c r="G23" s="3"/>
      <x:c r="H23" s="3"/>
      <x:c r="I23" s="3"/>
    </x:row>
    <x:row r="24" ht="22" customHeight="1">
      <x:c r="C24" s="2" t="str">
        <x:v>Uncovered debt at exit</x:v>
      </x:c>
      <x:c r="D24" s="3" t="n">
        <x:f>MAX(SUM(D21:D22)-(D18-D19+D20),0)</x:f>
        <x:v>0</x:v>
      </x:c>
      <x:c r="E24" s="3" t="n">
        <x:f>MAX(SUM(E21:E22)-(E18-E19+E20),0)</x:f>
        <x:v>0</x:v>
      </x:c>
      <x:c r="F24" s="3"/>
      <x:c r="G24" s="3"/>
      <x:c r="H24" s="3"/>
      <x:c r="I24" s="3"/>
    </x:row>
    <x:row r="25" ht="22" customHeight="1">
      <x:c r="C25" s="2"/>
      <x:c r="D25" s="3"/>
      <x:c r="E25" s="3"/>
      <x:c r="F25" s="3"/>
      <x:c r="G25" s="3"/>
      <x:c r="H25" s="3"/>
      <x:c r="I25" s="3"/>
    </x:row>
    <x:row r="26" ht="22" customHeight="1">
      <x:c r="C26" s="2"/>
      <x:c r="D26" s="3"/>
      <x:c r="E26" s="3"/>
      <x:c r="F26" s="3"/>
      <x:c r="G26" s="3"/>
      <x:c r="H26" s="3"/>
      <x:c r="I26" s="3"/>
    </x:row>
    <x:row r="27" ht="22" customHeight="1">
      <x:c r="C27" s="2" t="str">
        <x:v>Initial equity investment</x:v>
      </x:c>
      <x:c r="D27" s="35" t="n">
        <x:f>'Financing'!D20</x:f>
        <x:v>117.96143249999997</x:v>
      </x:c>
      <x:c r="E27" s="35" t="n">
        <x:f>'Financing'!E20</x:f>
        <x:v>88.99043249999997</x:v>
      </x:c>
      <x:c r="F27" s="3"/>
      <x:c r="G27" s="3"/>
      <x:c r="H27" s="3"/>
      <x:c r="I27" s="3"/>
    </x:row>
    <x:row r="28" ht="22" customHeight="1">
      <x:c r="C28" s="2" t="str">
        <x:v>Additional equity contributed</x:v>
      </x:c>
      <x:c r="D28" s="35" t="n">
        <x:f>SUM('Financing'!D38:H38)</x:f>
        <x:v>13.679522859999995</x:v>
      </x:c>
      <x:c r="E28" s="35" t="n">
        <x:f>SUM('Financing'!D64:H64)</x:f>
        <x:v>14.537064459999996</x:v>
      </x:c>
      <x:c r="F28" s="3"/>
      <x:c r="G28" s="3"/>
      <x:c r="H28" s="3"/>
      <x:c r="I28" s="3"/>
    </x:row>
    <x:row r="29" ht="22" customHeight="1">
      <x:c r="C29" s="12" t="str">
        <x:v>Total equity invested</x:v>
      </x:c>
      <x:c r="D29" s="13" t="n">
        <x:f>SUM(D27:D28)</x:f>
        <x:v>131.64095535999996</x:v>
      </x:c>
      <x:c r="E29" s="13" t="n">
        <x:f>SUM(E27:E28)</x:f>
        <x:v>103.52749695999997</x:v>
      </x:c>
      <x:c r="F29" s="3"/>
      <x:c r="G29" s="3"/>
      <x:c r="H29" s="3"/>
      <x:c r="I29" s="3"/>
    </x:row>
    <x:row r="30" ht="22" customHeight="1">
      <x:c r="C30" s="12" t="str">
        <x:v>Equity proceeds at exit</x:v>
      </x:c>
      <x:c r="D30" s="13" t="n">
        <x:f>D23</x:f>
        <x:v>259.59892244481335</x:v>
      </x:c>
      <x:c r="E30" s="13" t="n">
        <x:f>E23</x:f>
        <x:v>220.2259637362081</x:v>
      </x:c>
      <x:c r="F30" s="3"/>
      <x:c r="G30" s="3"/>
      <x:c r="H30" s="3"/>
      <x:c r="I30" s="3"/>
    </x:row>
    <x:row r="31" ht="22" customHeight="1">
      <x:c r="C31" s="2" t="str">
        <x:v>Multiple of invested capital</x:v>
      </x:c>
      <x:c r="D31" s="42" t="n">
        <x:f>D30/D29</x:f>
        <x:v>1.972022473818162</x:v>
      </x:c>
      <x:c r="E31" s="42" t="n">
        <x:f>E30/E29</x:f>
        <x:v>2.127221947820269</x:v>
      </x:c>
      <x:c r="F31" s="3"/>
      <x:c r="G31" s="3"/>
      <x:c r="H31" s="3"/>
      <x:c r="I31" s="3"/>
    </x:row>
    <x:row r="32" ht="22" customHeight="1">
      <x:c r="C32" s="2" t="str">
        <x:v>Equity IRR (dated XIRR)</x:v>
      </x:c>
      <x:c r="D32" s="9" t="n">
        <x:f>IF(D23=0,-1,XIRR(D10:I10,$D$9:$I$9))</x:f>
        <x:v>0.14848219203437896</x:v>
      </x:c>
      <x:c r="E32" s="9" t="n">
        <x:f>IF(E23=0,-1,XIRR(D11:I11,$D$9:$I$9))</x:f>
        <x:v>0.1676005500088171</x:v>
      </x:c>
      <x:c r="F32" s="3"/>
      <x:c r="G32" s="3"/>
      <x:c r="H32" s="3"/>
      <x:c r="I32" s="3"/>
    </x:row>
    <x:row r="33" ht="22" customHeight="1">
      <x:c r="C33" s="2" t="str">
        <x:v>Equity IRR (annual periods)</x:v>
      </x:c>
      <x:c r="D33" s="9" t="n">
        <x:f>IF(D23=0,-1,IRR(D10:I10))</x:f>
        <x:v>0.14857094517141278</x:v>
      </x:c>
      <x:c r="E33" s="9" t="n">
        <x:f>IF(E23=0,-1,IRR(D11:I11))</x:f>
        <x:v>0.16770218365213224</x:v>
      </x:c>
      <x:c r="F33" s="3"/>
      <x:c r="G33" s="3"/>
      <x:c r="H33" s="3"/>
      <x:c r="I33" s="3"/>
    </x:row>
    <x:row r="34" ht="22" customHeight="1">
      <x:c r="C34" s="2" t="str">
        <x:v>Seller note lender XIRR</x:v>
      </x:c>
      <x:c r="D34" s="9" t="str">
        <x:v>n.a.</x:v>
      </x:c>
      <x:c r="E34" s="36" t="n">
        <x:f>IF('Financing'!E19=0,"n.a.",XIRR(D12:I12,$D$9:$I$9))</x:f>
        <x:v>0.07995279949260192</x:v>
      </x:c>
      <x:c r="F34" s="3"/>
      <x:c r="G34" s="3"/>
      <x:c r="H34" s="3"/>
      <x:c r="I34" s="3"/>
    </x:row>
    <x:row r="35" ht="22" customHeight="1">
      <x:c r="C35" s="2" t="str">
        <x:v>XNPV residual at equity XIRR</x:v>
      </x:c>
      <x:c r="D35" s="3" t="n">
        <x:f>IF(D23=0,"n.m.",XNPV(D32,D10:I10,$D$9:$I$9))</x:f>
        <x:v>-2.842170943040401e-14</x:v>
      </x:c>
      <x:c r="E35" s="3" t="n">
        <x:f>IF(E23=0,"n.m.",XNPV(E32,D11:I11,$D$9:$I$9))</x:f>
        <x:v>-5.684341886080802e-14</x:v>
      </x:c>
      <x:c r="F35" s="3"/>
      <x:c r="G35" s="3"/>
      <x:c r="H35" s="3"/>
      <x:c r="I35" s="3"/>
    </x:row>
    <x:row r="36" ht="22" customHeight="1">
      <x:c r="C36" s="2"/>
      <x:c r="D36" s="3"/>
      <x:c r="E36" s="3"/>
      <x:c r="F36" s="3"/>
      <x:c r="G36" s="3"/>
      <x:c r="H36" s="3"/>
      <x:c r="I36" s="3"/>
    </x:row>
    <x:row r="37" ht="22" customHeight="1">
      <x:c r="C37" s="2"/>
      <x:c r="D37" s="3"/>
      <x:c r="E37" s="3"/>
      <x:c r="F37" s="3"/>
      <x:c r="G37" s="3"/>
      <x:c r="H37" s="3"/>
      <x:c r="I37" s="3"/>
    </x:row>
    <x:row r="38" ht="22" customHeight="1">
      <x:c r="C38" s="2"/>
      <x:c r="D38" s="3"/>
      <x:c r="E38" s="3"/>
      <x:c r="F38" s="3"/>
      <x:c r="G38" s="3"/>
      <x:c r="H38" s="3"/>
      <x:c r="I38" s="3"/>
    </x:row>
    <x:row r="39" ht="22" customHeight="1">
      <x:c r="C39" s="2"/>
      <x:c r="D39" s="3"/>
      <x:c r="E39" s="3"/>
      <x:c r="F39" s="3"/>
      <x:c r="G39" s="3"/>
      <x:c r="H39" s="3"/>
      <x:c r="I39" s="3"/>
    </x:row>
    <x:row r="40" ht="24" customHeight="1">
      <x:c r="C40" s="7" t="str">
        <x:v>Seller-financed equity MOIC at exit</x:v>
      </x:c>
      <x:c r="D40" s="15"/>
      <x:c r="E40" s="15"/>
      <x:c r="F40" s="15"/>
      <x:c r="G40" s="15"/>
      <x:c r="H40" s="15"/>
      <x:c r="I40" s="15"/>
    </x:row>
    <x:row r="41" ht="38" customHeight="1">
      <x:c r="C41" s="19" t="str">
        <x:v>Exit-only sensitivity. Interim cash flows stay fixed. Rows scale terminal EBITDA; columns change the exit multiple. Values include exit costs, cash and all debt.</x:v>
      </x:c>
      <x:c r="D41" s="20"/>
      <x:c r="E41" s="20"/>
      <x:c r="F41" s="20"/>
      <x:c r="G41" s="20"/>
      <x:c r="H41" s="20"/>
      <x:c r="I41" s="20"/>
    </x:row>
    <x:row r="42" ht="22" customHeight="1">
      <x:c r="C42" s="2"/>
      <x:c r="D42" s="3"/>
      <x:c r="E42" s="3"/>
      <x:c r="F42" s="3"/>
      <x:c r="G42" s="3"/>
      <x:c r="H42" s="3"/>
      <x:c r="I42" s="3"/>
    </x:row>
    <x:row r="43" ht="22" customHeight="1">
      <x:c r="C43" s="2"/>
      <x:c r="D43" s="3" t="str">
        <x:v>EBITDA factor</x:v>
      </x:c>
      <x:c r="E43" s="25" t="n">
        <x:v>4</x:v>
      </x:c>
      <x:c r="F43" s="25" t="n">
        <x:v>5</x:v>
      </x:c>
      <x:c r="G43" s="25" t="n">
        <x:v>6</x:v>
      </x:c>
      <x:c r="H43" s="25" t="n">
        <x:v>7</x:v>
      </x:c>
      <x:c r="I43" s="25" t="n">
        <x:v>8</x:v>
      </x:c>
    </x:row>
    <x:row r="44" ht="22" customHeight="1">
      <x:c r="C44" s="2"/>
      <x:c r="D44" s="26" t="n">
        <x:v>0.9</x:v>
      </x:c>
      <x:c r="E44" s="40" t="n">
        <x:f>MAX('Operating'!$H$15*$D44*E$43*(1-'Assumptions'!$D$14)+$E$20-$E$21-$E$22,0)/$E$29</x:f>
        <x:v>1.1057683756047487</x:v>
      </x:c>
      <x:c r="F44" s="40" t="n">
        <x:f>MAX('Operating'!$H$15*$D44*F$43*(1-'Assumptions'!$D$14)+$E$20-$E$21-$E$22,0)/$E$29</x:f>
        <x:v>1.488813465185569</x:v>
      </x:c>
      <x:c r="G44" s="40" t="n">
        <x:f>MAX('Operating'!$H$15*$D44*G$43*(1-'Assumptions'!$D$14)+$E$20-$E$21-$E$22,0)/$E$29</x:f>
        <x:v>1.8718585547663888</x:v>
      </x:c>
      <x:c r="H44" s="40" t="n">
        <x:f>MAX('Operating'!$H$15*$D44*H$43*(1-'Assumptions'!$D$14)+$E$20-$E$21-$E$22,0)/$E$29</x:f>
        <x:v>2.254903644347209</x:v>
      </x:c>
      <x:c r="I44" s="40" t="n">
        <x:f>MAX('Operating'!$H$15*$D44*I$43*(1-'Assumptions'!$D$14)+$E$20-$E$21-$E$22,0)/$E$29</x:f>
        <x:v>2.6379487339280283</x:v>
      </x:c>
    </x:row>
    <x:row r="45" ht="22" customHeight="1">
      <x:c r="C45" s="2"/>
      <x:c r="D45" s="26" t="n">
        <x:v>0.95</x:v>
      </x:c>
      <x:c r="E45" s="40" t="n">
        <x:f>MAX('Operating'!$H$15*$D45*E$43*(1-'Assumptions'!$D$14)+$E$20-$E$21-$E$22,0)/$E$29</x:f>
        <x:v>1.190889506622709</x:v>
      </x:c>
      <x:c r="F45" s="40" t="n">
        <x:f>MAX('Operating'!$H$15*$D45*F$43*(1-'Assumptions'!$D$14)+$E$20-$E$21-$E$22,0)/$E$29</x:f>
        <x:v>1.5952148789580187</x:v>
      </x:c>
      <x:c r="G45" s="40" t="n">
        <x:f>MAX('Operating'!$H$15*$D45*G$43*(1-'Assumptions'!$D$14)+$E$20-$E$21-$E$22,0)/$E$29</x:f>
        <x:v>1.9995402512933291</x:v>
      </x:c>
      <x:c r="H45" s="40" t="n">
        <x:f>MAX('Operating'!$H$15*$D45*H$43*(1-'Assumptions'!$D$14)+$E$20-$E$21-$E$22,0)/$E$29</x:f>
        <x:v>2.403865623628638</x:v>
      </x:c>
      <x:c r="I45" s="40" t="n">
        <x:f>MAX('Operating'!$H$15*$D45*I$43*(1-'Assumptions'!$D$14)+$E$20-$E$21-$E$22,0)/$E$29</x:f>
        <x:v>2.808190995963949</x:v>
      </x:c>
    </x:row>
    <x:row r="46" ht="22" customHeight="1">
      <x:c r="C46" s="2"/>
      <x:c r="D46" s="26" t="n">
        <x:v>1</x:v>
      </x:c>
      <x:c r="E46" s="40" t="n">
        <x:f>MAX('Operating'!$H$15*$D46*E$43*(1-'Assumptions'!$D$14)+$E$20-$E$21-$E$22,0)/$E$29</x:f>
        <x:v>1.276010637640669</x:v>
      </x:c>
      <x:c r="F46" s="40" t="n">
        <x:f>MAX('Operating'!$H$15*$D46*F$43*(1-'Assumptions'!$D$14)+$E$20-$E$21-$E$22,0)/$E$29</x:f>
        <x:v>1.7016162927304688</x:v>
      </x:c>
      <x:c r="G46" s="40" t="n">
        <x:f>MAX('Operating'!$H$15*$D46*G$43*(1-'Assumptions'!$D$14)+$E$20-$E$21-$E$22,0)/$E$29</x:f>
        <x:v>2.127221947820269</x:v>
      </x:c>
      <x:c r="H46" s="40" t="n">
        <x:f>MAX('Operating'!$H$15*$D46*H$43*(1-'Assumptions'!$D$14)+$E$20-$E$21-$E$22,0)/$E$29</x:f>
        <x:v>2.5528276029100687</x:v>
      </x:c>
      <x:c r="I46" s="40" t="n">
        <x:f>MAX('Operating'!$H$15*$D46*I$43*(1-'Assumptions'!$D$14)+$E$20-$E$21-$E$22,0)/$E$29</x:f>
        <x:v>2.978433257999869</x:v>
      </x:c>
    </x:row>
    <x:row r="47" ht="22" customHeight="1">
      <x:c r="C47" s="2"/>
      <x:c r="D47" s="26" t="n">
        <x:v>1.05</x:v>
      </x:c>
      <x:c r="E47" s="40" t="n">
        <x:f>MAX('Operating'!$H$15*$D47*E$43*(1-'Assumptions'!$D$14)+$E$20-$E$21-$E$22,0)/$E$29</x:f>
        <x:v>1.361131768658629</x:v>
      </x:c>
      <x:c r="F47" s="40" t="n">
        <x:f>MAX('Operating'!$H$15*$D47*F$43*(1-'Assumptions'!$D$14)+$E$20-$E$21-$E$22,0)/$E$29</x:f>
        <x:v>1.808017706502919</x:v>
      </x:c>
      <x:c r="G47" s="40" t="n">
        <x:f>MAX('Operating'!$H$15*$D47*G$43*(1-'Assumptions'!$D$14)+$E$20-$E$21-$E$22,0)/$E$29</x:f>
        <x:v>2.254903644347209</x:v>
      </x:c>
      <x:c r="H47" s="40" t="n">
        <x:f>MAX('Operating'!$H$15*$D47*H$43*(1-'Assumptions'!$D$14)+$E$20-$E$21-$E$22,0)/$E$29</x:f>
        <x:v>2.7017895821914997</x:v>
      </x:c>
      <x:c r="I47" s="40" t="n">
        <x:f>MAX('Operating'!$H$15*$D47*I$43*(1-'Assumptions'!$D$14)+$E$20-$E$21-$E$22,0)/$E$29</x:f>
        <x:v>3.148675520035789</x:v>
      </x:c>
    </x:row>
    <x:row r="48" ht="22" customHeight="1">
      <x:c r="C48" s="2"/>
      <x:c r="D48" s="26" t="n">
        <x:v>1.1</x:v>
      </x:c>
      <x:c r="E48" s="40" t="n">
        <x:f>MAX('Operating'!$H$15*$D48*E$43*(1-'Assumptions'!$D$14)+$E$20-$E$21-$E$22,0)/$E$29</x:f>
        <x:v>1.4462528996765889</x:v>
      </x:c>
      <x:c r="F48" s="40" t="n">
        <x:f>MAX('Operating'!$H$15*$D48*F$43*(1-'Assumptions'!$D$14)+$E$20-$E$21-$E$22,0)/$E$29</x:f>
        <x:v>1.9144191202753689</x:v>
      </x:c>
      <x:c r="G48" s="40" t="n">
        <x:f>MAX('Operating'!$H$15*$D48*G$43*(1-'Assumptions'!$D$14)+$E$20-$E$21-$E$22,0)/$E$29</x:f>
        <x:v>2.382585340874149</x:v>
      </x:c>
      <x:c r="H48" s="40" t="n">
        <x:f>MAX('Operating'!$H$15*$D48*H$43*(1-'Assumptions'!$D$14)+$E$20-$E$21-$E$22,0)/$E$29</x:f>
        <x:v>2.850751561472929</x:v>
      </x:c>
      <x:c r="I48" s="40" t="n">
        <x:f>MAX('Operating'!$H$15*$D48*I$43*(1-'Assumptions'!$D$14)+$E$20-$E$21-$E$22,0)/$E$29</x:f>
        <x:v>3.318917782071709</x:v>
      </x:c>
    </x:row>
    <x:row r="49" ht="22" customHeight="1">
      <x:c r="C49" s="2"/>
      <x:c r="D49" s="3"/>
      <x:c r="E49" s="3"/>
      <x:c r="F49" s="3"/>
      <x:c r="G49" s="3"/>
      <x:c r="H49" s="3"/>
      <x:c r="I49" s="3"/>
    </x:row>
    <x:row r="50" ht="22" customHeight="1">
      <x:c r="C50" s="2"/>
      <x:c r="D50" s="3"/>
      <x:c r="E50" s="3"/>
      <x:c r="F50" s="3"/>
      <x:c r="G50" s="3"/>
      <x:c r="H50" s="3"/>
      <x:c r="I50" s="3"/>
    </x:row>
    <x:row r="51" ht="45" customHeight="1">
      <x:c r="C51" s="19" t="str">
        <x:v>Returns are gross modeled investment-level returns before fund fees, carried interest and investor taxes. No interim distributions are assumed. A total equity loss is shown as -100%; its dated IRR is otherwise undefined.</x:v>
      </x:c>
      <x:c r="D51" s="20"/>
      <x:c r="E51" s="20"/>
      <x:c r="F51" s="20"/>
      <x:c r="G51" s="20"/>
      <x:c r="H51" s="20"/>
      <x:c r="I51" s="20"/>
    </x:row>
    <x:row r="52" ht="22" customHeight="1">
      <x:c r="C52" s="2"/>
      <x:c r="D52" s="3"/>
      <x:c r="E52" s="3"/>
      <x:c r="F52" s="3"/>
      <x:c r="G52" s="3"/>
      <x:c r="H52" s="3"/>
      <x:c r="I52" s="3"/>
    </x:row>
    <x:row r="53" ht="22" customHeight="1">
      <x:c r="C53" s="2"/>
      <x:c r="D53" s="3"/>
      <x:c r="E53" s="3"/>
      <x:c r="F53" s="3"/>
      <x:c r="G53" s="3"/>
      <x:c r="H53" s="3"/>
      <x:c r="I53" s="3"/>
    </x:row>
    <x:row r="54" ht="40" customHeight="1">
      <x:c r="C54" s="19" t="str">
        <x:v>Seller note lender XIRR assumes full contractual repayment at exit. If uncovered debt is positive, that lender return is not achievable and requires a recovery analysis.</x:v>
      </x:c>
      <x:c r="D54" s="20"/>
      <x:c r="E54" s="20"/>
      <x:c r="F54" s="20"/>
      <x:c r="G54" s="20"/>
      <x:c r="H54" s="20"/>
      <x:c r="I54" s="20"/>
    </x:row>
    <x:row r="55" ht="22" customHeight="1">
      <x:c r="C55" s="2"/>
      <x:c r="D55" s="3"/>
      <x:c r="E55" s="3"/>
      <x:c r="F55" s="3"/>
      <x:c r="G55" s="3"/>
      <x:c r="H55" s="3"/>
      <x:c r="I55" s="3"/>
    </x:row>
    <x:row r="56" ht="22" customHeight="1">
      <x:c r="C56" s="2"/>
      <x:c r="D56" s="3"/>
      <x:c r="E56" s="3"/>
      <x:c r="F56" s="3"/>
      <x:c r="G56" s="3"/>
      <x:c r="H56" s="3"/>
      <x:c r="I56" s="3"/>
    </x:row>
    <x:row r="57" ht="22" customHeight="1">
      <x:c r="C57" s="2"/>
      <x:c r="D57" s="3"/>
      <x:c r="E57" s="3"/>
      <x:c r="F57" s="3"/>
      <x:c r="G57" s="3"/>
      <x:c r="H57" s="3"/>
      <x:c r="I57" s="3"/>
    </x:row>
    <x:row r="58" ht="24" customHeight="1">
      <x:c r="C58" s="7" t="str">
        <x:v>Entry price at the assumed return hurdle</x:v>
      </x:c>
      <x:c r="D58" s="15"/>
      <x:c r="E58" s="15"/>
      <x:c r="F58" s="3"/>
      <x:c r="G58" s="3"/>
      <x:c r="H58" s="3"/>
      <x:c r="I58" s="3"/>
    </x:row>
    <x:row r="59" ht="22" customHeight="1">
      <x:c r="C59" s="2"/>
      <x:c r="D59" s="3"/>
      <x:c r="E59" s="3"/>
      <x:c r="F59" s="3"/>
      <x:c r="G59" s="3"/>
      <x:c r="H59" s="3"/>
      <x:c r="I59" s="3"/>
    </x:row>
    <x:row r="60" ht="22" customHeight="1">
      <x:c r="C60" s="2" t="str">
        <x:v>Gross equity XIRR hurdle</x:v>
      </x:c>
      <x:c r="D60" s="36" t="n">
        <x:f>'Assumptions'!D15</x:f>
        <x:v>0.2</x:v>
      </x:c>
      <x:c r="E60" s="36" t="n">
        <x:f>'Assumptions'!D15</x:f>
        <x:v>0.2</x:v>
      </x:c>
      <x:c r="F60" s="3"/>
      <x:c r="G60" s="3"/>
      <x:c r="H60" s="3"/>
      <x:c r="I60" s="3"/>
    </x:row>
    <x:row r="61" ht="22" customHeight="1">
      <x:c r="C61" s="2" t="str">
        <x:v>Present value of future equity cash flows</x:v>
      </x:c>
      <x:c r="D61" s="3" t="n">
        <x:f>XNPV(D60,D10:I10,$D$9:$I$9)+D27</x:f>
        <x:v>92.87528279171909</x:v>
      </x:c>
      <x:c r="E61" s="3" t="n">
        <x:f>XNPV(E60,D11:I11,$D$9:$I$9)+E27</x:f>
        <x:v>76.34545758794233</x:v>
      </x:c>
      <x:c r="F61" s="3"/>
      <x:c r="G61" s="3"/>
      <x:c r="H61" s="3"/>
      <x:c r="I61" s="3"/>
    </x:row>
    <x:row r="62" ht="22" customHeight="1">
      <x:c r="C62" s="2" t="str">
        <x:v>Maximum entry enterprise value</x:v>
      </x:c>
      <x:c r="D62" s="35" t="n">
        <x:f>'Financing'!D8-(D27-D61)/(1+'Assumptions'!D12)</x:f>
        <x:v>149.23173558011678</x:v>
      </x:c>
      <x:c r="E62" s="35" t="n">
        <x:f>'Financing'!E8-(E27-E61)/(1+'Assumptions'!D12)</x:f>
        <x:v>161.42896577249252</x:v>
      </x:c>
      <x:c r="F62" s="3"/>
      <x:c r="G62" s="3"/>
      <x:c r="H62" s="3"/>
      <x:c r="I62" s="3"/>
    </x:row>
    <x:row r="63" ht="22" customHeight="1">
      <x:c r="C63" s="2" t="str">
        <x:v>Maximum entry EBITDA multiple</x:v>
      </x:c>
      <x:c r="D63" s="40" t="n">
        <x:f>D62/'Historical'!G12</x:f>
        <x:v>5.1510729895452965</x:v>
      </x:c>
      <x:c r="E63" s="40" t="n">
        <x:f>E62/'Historical'!G12</x:f>
        <x:v>5.572088149269701</x:v>
      </x:c>
      <x:c r="F63" s="3"/>
      <x:c r="G63" s="3"/>
      <x:c r="H63" s="3"/>
      <x:c r="I63" s="3"/>
    </x:row>
    <x:row r="64" ht="22" customHeight="1">
      <x:c r="C64" s="2"/>
      <x:c r="D64" s="3"/>
      <x:c r="E64" s="3"/>
      <x:c r="F64" s="3"/>
      <x:c r="G64" s="3"/>
      <x:c r="H64" s="3"/>
      <x:c r="I64" s="3"/>
    </x:row>
    <x:row r="65" ht="22" customHeight="1">
      <x:c r="C65" s="2"/>
      <x:c r="D65" s="3"/>
      <x:c r="E65" s="3"/>
      <x:c r="F65" s="3"/>
      <x:c r="G65" s="3"/>
      <x:c r="H65" s="3"/>
      <x:c r="I65" s="3"/>
    </x:row>
    <x:row r="66" ht="45" customHeight="1">
      <x:c r="C66" s="19" t="str">
        <x:v>The entry-price ceiling holds debt amounts, operating cash flows and exit assumptions fixed. It adjusts transaction fees with entry EV. It is a model-implied price limit, not fair market value or an ESOP independent appraisal.</x:v>
      </x:c>
      <x:c r="D66" s="20"/>
      <x:c r="E66" s="20"/>
      <x:c r="F66" s="20"/>
      <x:c r="G66" s="20"/>
      <x:c r="H66" s="20"/>
      <x:c r="I66" s="20"/>
    </x:row>
    <x:row r="67" ht="22" customHeight="1">
      <x:c r="C67" s="2"/>
      <x:c r="D67" s="3"/>
      <x:c r="E67" s="3"/>
      <x:c r="F67" s="3"/>
      <x:c r="G67" s="3"/>
      <x:c r="H67" s="3"/>
      <x:c r="I67" s="3"/>
    </x:row>
    <x:row r="68" ht="22" customHeight="1">
      <x:c r="C68" s="2"/>
      <x:c r="D68" s="3"/>
      <x:c r="E68" s="3"/>
      <x:c r="F68" s="3"/>
      <x:c r="G68" s="3"/>
      <x:c r="H68" s="3"/>
      <x:c r="I68" s="3"/>
    </x:row>
    <x:row r="69" ht="22" customHeight="1">
      <x:c r="C69" s="2"/>
      <x:c r="D69" s="3"/>
      <x:c r="E69" s="3"/>
      <x:c r="F69" s="3"/>
      <x:c r="G69" s="3"/>
      <x:c r="H69" s="3"/>
      <x:c r="I69" s="3"/>
    </x:row>
    <x:row r="70" ht="22" customHeight="1">
      <x:c r="C70" s="2"/>
      <x:c r="D70" s="3"/>
      <x:c r="E70" s="3"/>
      <x:c r="F70" s="3"/>
      <x:c r="G70" s="3"/>
      <x:c r="H70" s="3"/>
      <x:c r="I70" s="3"/>
    </x:row>
    <x:row r="71" ht="22" customHeight="1">
      <x:c r="C71" s="2"/>
      <x:c r="D71" s="3"/>
      <x:c r="E71" s="3"/>
      <x:c r="F71" s="3"/>
      <x:c r="G71" s="3"/>
      <x:c r="H71" s="3"/>
      <x:c r="I71" s="3"/>
    </x:row>
    <x:row r="72" ht="22" customHeight="1">
      <x:c r="C72" s="2"/>
      <x:c r="D72" s="3"/>
      <x:c r="E72" s="3"/>
      <x:c r="F72" s="3"/>
      <x:c r="G72" s="3"/>
      <x:c r="H72" s="3"/>
      <x:c r="I72" s="3"/>
    </x:row>
    <x:row r="73" ht="22" customHeight="1">
      <x:c r="C73" s="2"/>
      <x:c r="D73" s="3"/>
      <x:c r="E73" s="3"/>
      <x:c r="F73" s="3"/>
      <x:c r="G73" s="3"/>
      <x:c r="H73" s="3"/>
      <x:c r="I73" s="3"/>
    </x:row>
    <x:row r="74" ht="22" customHeight="1">
      <x:c r="C74" s="2"/>
      <x:c r="D74" s="3"/>
      <x:c r="E74" s="3"/>
      <x:c r="F74" s="3"/>
      <x:c r="G74" s="3"/>
      <x:c r="H74" s="3"/>
      <x:c r="I74" s="3"/>
    </x:row>
    <x:row r="75" ht="22" customHeight="1">
      <x:c r="C75" s="2"/>
      <x:c r="D75" s="3"/>
      <x:c r="E75" s="3"/>
      <x:c r="F75" s="3"/>
      <x:c r="G75" s="3"/>
      <x:c r="H75" s="3"/>
      <x:c r="I75" s="3"/>
    </x:row>
    <x:row r="76" ht="22" customHeight="1">
      <x:c r="C76" s="2"/>
      <x:c r="D76" s="3"/>
      <x:c r="E76" s="3"/>
      <x:c r="F76" s="3"/>
      <x:c r="G76" s="3"/>
      <x:c r="H76" s="3"/>
      <x:c r="I76" s="3"/>
    </x:row>
    <x:row r="77" ht="22" customHeight="1">
      <x:c r="C77" s="2"/>
      <x:c r="D77" s="3"/>
      <x:c r="E77" s="3"/>
      <x:c r="F77" s="3"/>
      <x:c r="G77" s="3"/>
      <x:c r="H77" s="3"/>
      <x:c r="I77" s="3"/>
    </x:row>
    <x:row r="78" ht="22" customHeight="1">
      <x:c r="C78" s="2"/>
      <x:c r="D78" s="3"/>
      <x:c r="E78" s="3"/>
      <x:c r="F78" s="3"/>
      <x:c r="G78" s="3"/>
      <x:c r="H78" s="3"/>
      <x:c r="I78" s="3"/>
    </x:row>
    <x:row r="79" ht="22" customHeight="1">
      <x:c r="C79" s="2"/>
      <x:c r="D79" s="3"/>
      <x:c r="E79" s="3"/>
      <x:c r="F79" s="3"/>
      <x:c r="G79" s="3"/>
      <x:c r="H79" s="3"/>
      <x:c r="I79" s="3"/>
    </x:row>
    <x:row r="80" ht="22" customHeight="1">
      <x:c r="C80" s="2"/>
      <x:c r="D80" s="3"/>
      <x:c r="E80" s="3"/>
      <x:c r="F80" s="3"/>
      <x:c r="G80" s="3"/>
      <x:c r="H80" s="3"/>
      <x:c r="I80" s="3"/>
    </x:row>
    <x:row r="81" ht="22" customHeight="1">
      <x:c r="C81" s="2"/>
      <x:c r="D81" s="3"/>
      <x:c r="E81" s="3"/>
      <x:c r="F81" s="3"/>
      <x:c r="G81" s="3"/>
      <x:c r="H81" s="3"/>
      <x:c r="I81" s="3"/>
    </x:row>
    <x:row r="82" ht="22" customHeight="1">
      <x:c r="C82" s="2"/>
      <x:c r="D82" s="3"/>
      <x:c r="E82" s="3"/>
      <x:c r="F82" s="3"/>
      <x:c r="G82" s="3"/>
      <x:c r="H82" s="3"/>
      <x:c r="I82" s="3"/>
    </x:row>
    <x:row r="83" ht="22" customHeight="1">
      <x:c r="C83" s="2"/>
      <x:c r="D83" s="3"/>
      <x:c r="E83" s="3"/>
      <x:c r="F83" s="3"/>
      <x:c r="G83" s="3"/>
      <x:c r="H83" s="3"/>
      <x:c r="I83" s="3"/>
    </x:row>
    <x:row r="84" ht="22" customHeight="1">
      <x:c r="C84" s="2"/>
      <x:c r="D84" s="3"/>
      <x:c r="E84" s="3"/>
      <x:c r="F84" s="3"/>
      <x:c r="G84" s="3"/>
      <x:c r="H84" s="3"/>
      <x:c r="I84" s="3"/>
    </x:row>
    <x:row r="85" ht="22" customHeight="1">
      <x:c r="C85" s="2"/>
      <x:c r="D85" s="3"/>
      <x:c r="E85" s="3"/>
      <x:c r="F85" s="3"/>
      <x:c r="G85" s="3"/>
      <x:c r="H85" s="3"/>
      <x:c r="I85" s="3"/>
    </x:row>
    <x:row r="86" ht="22" customHeight="1">
      <x:c r="C86" s="2"/>
      <x:c r="D86" s="3"/>
      <x:c r="E86" s="3"/>
      <x:c r="F86" s="3"/>
      <x:c r="G86" s="3"/>
      <x:c r="H86" s="3"/>
      <x:c r="I86" s="3"/>
    </x:row>
    <x:row r="87" ht="22" customHeight="1">
      <x:c r="C87" s="2"/>
      <x:c r="D87" s="3"/>
      <x:c r="E87" s="3"/>
      <x:c r="F87" s="3"/>
      <x:c r="G87" s="3"/>
      <x:c r="H87" s="3"/>
      <x:c r="I87" s="3"/>
    </x:row>
    <x:row r="88" ht="22" customHeight="1">
      <x:c r="C88" s="2"/>
      <x:c r="D88" s="3"/>
      <x:c r="E88" s="3"/>
      <x:c r="F88" s="3"/>
      <x:c r="G88" s="3"/>
      <x:c r="H88" s="3"/>
      <x:c r="I88" s="3"/>
    </x:row>
    <x:row r="89" ht="22" customHeight="1">
      <x:c r="C89" s="2"/>
      <x:c r="D89" s="3"/>
      <x:c r="E89" s="3"/>
      <x:c r="F89" s="3"/>
      <x:c r="G89" s="3"/>
      <x:c r="H89" s="3"/>
      <x:c r="I89" s="3"/>
    </x:row>
    <x:row r="90" ht="22" customHeight="1">
      <x:c r="C90" s="2"/>
      <x:c r="D90" s="3"/>
      <x:c r="E90" s="3"/>
      <x:c r="F90" s="3"/>
      <x:c r="G90" s="3"/>
      <x:c r="H90" s="3"/>
      <x:c r="I90" s="3"/>
    </x:row>
    <x:row r="91" ht="22" customHeight="1">
      <x:c r="C91" s="2"/>
      <x:c r="D91" s="3"/>
      <x:c r="E91" s="3"/>
      <x:c r="F91" s="3"/>
      <x:c r="G91" s="3"/>
      <x:c r="H91" s="3"/>
      <x:c r="I91" s="3"/>
    </x:row>
    <x:row r="92" ht="22" customHeight="1">
      <x:c r="C92" s="2"/>
      <x:c r="D92" s="3"/>
      <x:c r="E92" s="3"/>
      <x:c r="F92" s="3"/>
      <x:c r="G92" s="3"/>
      <x:c r="H92" s="3"/>
      <x:c r="I92" s="3"/>
    </x:row>
    <x:row r="93" ht="22" customHeight="1">
      <x:c r="C93" s="2"/>
      <x:c r="D93" s="3"/>
      <x:c r="E93" s="3"/>
      <x:c r="F93" s="3"/>
      <x:c r="G93" s="3"/>
      <x:c r="H93" s="3"/>
      <x:c r="I93" s="3"/>
    </x:row>
    <x:row r="94" ht="22" customHeight="1">
      <x:c r="C94" s="2"/>
      <x:c r="D94" s="3"/>
      <x:c r="E94" s="3"/>
      <x:c r="F94" s="3"/>
      <x:c r="G94" s="3"/>
      <x:c r="H94" s="3"/>
      <x:c r="I94" s="3"/>
    </x:row>
    <x:row r="95" ht="22" customHeight="1">
      <x:c r="C95" s="2"/>
      <x:c r="D95" s="3"/>
      <x:c r="E95" s="3"/>
      <x:c r="F95" s="3"/>
      <x:c r="G95" s="3"/>
      <x:c r="H95" s="3"/>
      <x:c r="I95" s="3"/>
    </x:row>
    <x:row r="96" ht="22" customHeight="1">
      <x:c r="C96" s="2"/>
      <x:c r="D96" s="3"/>
      <x:c r="E96" s="3"/>
      <x:c r="F96" s="3"/>
      <x:c r="G96" s="3"/>
      <x:c r="H96" s="3"/>
      <x:c r="I96" s="3"/>
    </x:row>
    <x:row r="97" ht="22" customHeight="1">
      <x:c r="C97" s="2"/>
      <x:c r="D97" s="3"/>
      <x:c r="E97" s="3"/>
      <x:c r="F97" s="3"/>
      <x:c r="G97" s="3"/>
      <x:c r="H97" s="3"/>
      <x:c r="I97" s="3"/>
    </x:row>
    <x:row r="98" ht="22" customHeight="1">
      <x:c r="C98" s="2"/>
      <x:c r="D98" s="3"/>
      <x:c r="E98" s="3"/>
      <x:c r="F98" s="3"/>
      <x:c r="G98" s="3"/>
      <x:c r="H98" s="3"/>
      <x:c r="I98" s="3"/>
    </x:row>
    <x:row r="99" ht="22" customHeight="1">
      <x:c r="C99" s="2"/>
      <x:c r="D99" s="3"/>
      <x:c r="E99" s="3"/>
      <x:c r="F99" s="3"/>
      <x:c r="G99" s="3"/>
      <x:c r="H99" s="3"/>
      <x:c r="I99" s="3"/>
    </x:row>
    <x:row r="100" ht="22" customHeight="1">
      <x:c r="C100" s="2"/>
      <x:c r="D100" s="3"/>
      <x:c r="E100" s="3"/>
      <x:c r="F100" s="3"/>
      <x:c r="G100" s="3"/>
      <x:c r="H100" s="3"/>
      <x:c r="I100" s="3"/>
    </x:row>
  </x:sheetData>
  <x:mergeCells>
    <x:mergeCell ref="C1:I1"/>
    <x:mergeCell ref="C2:I2"/>
    <x:mergeCell ref="C41:I41"/>
    <x:mergeCell ref="C51:I51"/>
    <x:mergeCell ref="C54:I54"/>
    <x:mergeCell ref="C66:I66"/>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43"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ht="32" customHeight="1">
      <x:c r="C1" s="4" t="str">
        <x:v>ESOP financing capacity</x:v>
      </x:c>
      <x:c r="D1" s="4"/>
      <x:c r="E1" s="4"/>
      <x:c r="F1" s="4"/>
      <x:c r="G1" s="4"/>
      <x:c r="H1" s="4"/>
      <x:c r="I1" s="4"/>
    </x:row>
    <x:row r="2" ht="24" customHeight="1">
      <x:c r="C2" s="5" t="str">
        <x:v>Independent investment case | USD millions unless stated | Prepared October 1, 2026</x:v>
      </x:c>
      <x:c r="D2" s="5"/>
      <x:c r="E2" s="5"/>
      <x:c r="F2" s="5"/>
      <x:c r="G2" s="5"/>
      <x:c r="H2" s="5"/>
      <x:c r="I2" s="5"/>
    </x:row>
    <x:row r="3" ht="22" customHeight="1">
      <x:c r="C3" s="2"/>
      <x:c r="D3" s="2"/>
      <x:c r="E3" s="2"/>
      <x:c r="F3" s="2"/>
      <x:c r="G3" s="2"/>
      <x:c r="H3" s="2"/>
      <x:c r="I3" s="2"/>
    </x:row>
    <x:row r="4" ht="22" customHeight="1">
      <x:c r="C4" s="2"/>
      <x:c r="D4" s="2"/>
      <x:c r="E4" s="2"/>
      <x:c r="F4" s="2"/>
      <x:c r="G4" s="2"/>
      <x:c r="H4" s="2"/>
      <x:c r="I4" s="2"/>
    </x:row>
    <x:row r="5" ht="22" customHeight="1">
      <x:c r="C5" s="2"/>
      <x:c r="D5" s="2"/>
      <x:c r="E5" s="2"/>
      <x:c r="F5" s="2"/>
      <x:c r="G5" s="2"/>
      <x:c r="H5" s="2"/>
      <x:c r="I5" s="2"/>
    </x:row>
    <x:row r="6" ht="24" customHeight="1">
      <x:c r="C6" s="7" t="str">
        <x:v>Illustrative 100% employee-ownership funding</x:v>
      </x:c>
      <x:c r="D6" s="7"/>
      <x:c r="E6" s="7"/>
      <x:c r="F6" s="2"/>
      <x:c r="G6" s="2"/>
      <x:c r="H6" s="2"/>
      <x:c r="I6" s="2"/>
    </x:row>
    <x:row r="7" ht="22" customHeight="1">
      <x:c r="C7" s="2"/>
      <x:c r="D7" s="3"/>
      <x:c r="E7" s="3"/>
      <x:c r="F7" s="3"/>
      <x:c r="G7" s="3"/>
      <x:c r="H7" s="3"/>
      <x:c r="I7" s="3"/>
    </x:row>
    <x:row r="8" ht="22" customHeight="1">
      <x:c r="C8" s="2" t="str">
        <x:v>Purchase equity value</x:v>
      </x:c>
      <x:c r="D8" s="35" t="n">
        <x:f>'Financing'!D11</x:f>
        <x:v>185.95999999999998</x:v>
      </x:c>
      <x:c r="E8" s="3"/>
      <x:c r="F8" s="3"/>
      <x:c r="G8" s="3"/>
      <x:c r="H8" s="3"/>
      <x:c r="I8" s="3"/>
    </x:row>
    <x:row r="9" ht="22" customHeight="1">
      <x:c r="C9" s="2" t="str">
        <x:v>Transaction and financing fees</x:v>
      </x:c>
      <x:c r="D9" s="35" t="n">
        <x:f>SUM('Financing'!D12:D13)</x:f>
        <x:v>4.5629325</x:v>
      </x:c>
      <x:c r="E9" s="3"/>
      <x:c r="F9" s="3"/>
      <x:c r="G9" s="3"/>
      <x:c r="H9" s="3"/>
      <x:c r="I9" s="3"/>
    </x:row>
    <x:row r="10" ht="22" customHeight="1">
      <x:c r="C10" s="2" t="str">
        <x:v>Debt payoff and cash reserve top-up</x:v>
      </x:c>
      <x:c r="D10" s="35" t="n">
        <x:f>'Financing'!D14</x:f>
        <x:v>0</x:v>
      </x:c>
      <x:c r="E10" s="3"/>
      <x:c r="F10" s="3"/>
      <x:c r="G10" s="3"/>
      <x:c r="H10" s="3"/>
      <x:c r="I10" s="3"/>
    </x:row>
    <x:row r="11" ht="22" customHeight="1">
      <x:c r="C11" s="12" t="str">
        <x:v>Total uses</x:v>
      </x:c>
      <x:c r="D11" s="13" t="n">
        <x:f>SUM(D8:D10)</x:f>
        <x:v>190.52293249999997</x:v>
      </x:c>
      <x:c r="E11" s="13"/>
      <x:c r="F11" s="3"/>
      <x:c r="G11" s="3"/>
      <x:c r="H11" s="3"/>
      <x:c r="I11" s="3"/>
    </x:row>
    <x:row r="12" ht="22" customHeight="1">
      <x:c r="C12" s="2"/>
      <x:c r="D12" s="3"/>
      <x:c r="E12" s="3"/>
      <x:c r="F12" s="3"/>
      <x:c r="G12" s="3"/>
      <x:c r="H12" s="3"/>
      <x:c r="I12" s="3"/>
    </x:row>
    <x:row r="13" ht="22" customHeight="1">
      <x:c r="C13" s="2" t="str">
        <x:v>Available target cash</x:v>
      </x:c>
      <x:c r="D13" s="35" t="n">
        <x:f>'Financing'!D17</x:f>
        <x:v>0.13400000000000034</x:v>
      </x:c>
      <x:c r="E13" s="3"/>
      <x:c r="F13" s="3"/>
      <x:c r="G13" s="3"/>
      <x:c r="H13" s="3"/>
      <x:c r="I13" s="3"/>
    </x:row>
    <x:row r="14" ht="22" customHeight="1">
      <x:c r="C14" s="2" t="str">
        <x:v>Senior financing</x:v>
      </x:c>
      <x:c r="D14" s="35" t="n">
        <x:f>'Financing'!D18</x:f>
        <x:v>72.4275</x:v>
      </x:c>
      <x:c r="E14" s="3"/>
      <x:c r="F14" s="3"/>
      <x:c r="G14" s="3"/>
      <x:c r="H14" s="3"/>
      <x:c r="I14" s="3"/>
    </x:row>
    <x:row r="15" ht="22" customHeight="1">
      <x:c r="C15" s="12" t="str">
        <x:v>Required seller financing</x:v>
      </x:c>
      <x:c r="D15" s="13" t="n">
        <x:f>D11-SUM(D13:D14)</x:f>
        <x:v>117.96143249999997</x:v>
      </x:c>
      <x:c r="E15" s="13"/>
      <x:c r="F15" s="3"/>
      <x:c r="G15" s="3"/>
      <x:c r="H15" s="3"/>
      <x:c r="I15" s="3"/>
    </x:row>
    <x:row r="16" ht="22" customHeight="1">
      <x:c r="C16" s="2" t="str">
        <x:v>Sources less uses</x:v>
      </x:c>
      <x:c r="D16" s="3" t="n">
        <x:f>SUM(D13:D15)-D11</x:f>
        <x:v>0</x:v>
      </x:c>
      <x:c r="E16" s="3"/>
      <x:c r="F16" s="3"/>
      <x:c r="G16" s="3"/>
      <x:c r="H16" s="3"/>
      <x:c r="I16" s="3"/>
    </x:row>
    <x:row r="17" ht="22" customHeight="1">
      <x:c r="C17" s="2" t="str">
        <x:v>Total new debt / LTM adjusted EBITDA</x:v>
      </x:c>
      <x:c r="D17" s="40" t="n">
        <x:f>SUM(D14:D15)/'Historical'!G12</x:f>
        <x:v>6.571707310759034</x:v>
      </x:c>
      <x:c r="E17" s="3"/>
      <x:c r="F17" s="3"/>
      <x:c r="G17" s="3"/>
      <x:c r="H17" s="3"/>
      <x:c r="I17" s="3"/>
    </x:row>
    <x:row r="18" ht="22" customHeight="1">
      <x:c r="C18" s="2"/>
      <x:c r="D18" s="3"/>
      <x:c r="E18" s="3"/>
      <x:c r="F18" s="3"/>
      <x:c r="G18" s="3"/>
      <x:c r="H18" s="3"/>
      <x:c r="I18" s="3"/>
    </x:row>
    <x:row r="19" ht="22" customHeight="1">
      <x:c r="C19" s="2"/>
      <x:c r="D19" s="3"/>
      <x:c r="E19" s="3"/>
      <x:c r="F19" s="3"/>
      <x:c r="G19" s="3"/>
      <x:c r="H19" s="3"/>
      <x:c r="I19" s="3"/>
    </x:row>
    <x:row r="20" ht="22" customHeight="1">
      <x:c r="C20" s="2"/>
      <x:c r="D20" s="3"/>
      <x:c r="E20" s="3"/>
      <x:c r="F20" s="3"/>
      <x:c r="G20" s="3"/>
      <x:c r="H20" s="3"/>
      <x:c r="I20" s="3"/>
    </x:row>
    <x:row r="21" ht="22" customHeight="1">
      <x:c r="C21" s="2" t="str">
        <x:v>Year-one senior cash interest</x:v>
      </x:c>
      <x:c r="D21" s="35" t="n">
        <x:f>D14*'Assumptions'!D33</x:f>
        <x:v>5.7942</x:v>
      </x:c>
      <x:c r="E21" s="3"/>
      <x:c r="F21" s="3"/>
      <x:c r="G21" s="3"/>
      <x:c r="H21" s="3"/>
      <x:c r="I21" s="3"/>
    </x:row>
    <x:row r="22" ht="22" customHeight="1">
      <x:c r="C22" s="2" t="str">
        <x:v>Year-one seller cash interest</x:v>
      </x:c>
      <x:c r="D22" s="35" t="n">
        <x:f>D15*'Assumptions'!D35</x:f>
        <x:v>4.718457299999999</x:v>
      </x:c>
      <x:c r="E22" s="3"/>
      <x:c r="F22" s="3"/>
      <x:c r="G22" s="3"/>
      <x:c r="H22" s="3"/>
      <x:c r="I22" s="3"/>
    </x:row>
    <x:row r="23" ht="22" customHeight="1">
      <x:c r="C23" s="2" t="str">
        <x:v>Year-one scheduled principal</x:v>
      </x:c>
      <x:c r="D23" s="35" t="n">
        <x:f>D14*'Assumptions'!D34</x:f>
        <x:v>3.621375</x:v>
      </x:c>
      <x:c r="E23" s="3"/>
      <x:c r="F23" s="3"/>
      <x:c r="G23" s="3"/>
      <x:c r="H23" s="3"/>
      <x:c r="I23" s="3"/>
    </x:row>
    <x:row r="24" ht="22" customHeight="1">
      <x:c r="C24" s="2" t="str">
        <x:v>Year-one cash tax proxy</x:v>
      </x:c>
      <x:c r="D24" s="35" t="n">
        <x:f>MAX('Operating'!D20-D21-D22,0)*'Assumptions'!D32</x:f>
        <x:v>0.8002939620000018</x:v>
      </x:c>
      <x:c r="E24" s="3"/>
      <x:c r="F24" s="3"/>
      <x:c r="G24" s="3"/>
      <x:c r="H24" s="3"/>
      <x:c r="I24" s="3"/>
    </x:row>
    <x:row r="25" ht="22" customHeight="1">
      <x:c r="C25" s="2" t="str">
        <x:v>Cash available for debt service</x:v>
      </x:c>
      <x:c r="D25" s="35" t="n">
        <x:f>'Operating'!D18-D24-'Operating'!D26-'Operating'!D24</x:f>
        <x:v>-3.0371489619999927</x:v>
      </x:c>
      <x:c r="E25" s="3"/>
      <x:c r="F25" s="3"/>
      <x:c r="G25" s="3"/>
      <x:c r="H25" s="3"/>
      <x:c r="I25" s="3"/>
    </x:row>
    <x:row r="26" ht="22" customHeight="1">
      <x:c r="C26" s="2" t="str">
        <x:v>Cash debt service</x:v>
      </x:c>
      <x:c r="D26" s="3" t="n">
        <x:f>SUM(D21:D23)</x:f>
        <x:v>14.1340323</x:v>
      </x:c>
      <x:c r="E26" s="3"/>
      <x:c r="F26" s="3"/>
      <x:c r="G26" s="3"/>
      <x:c r="H26" s="3"/>
      <x:c r="I26" s="3"/>
    </x:row>
    <x:row r="27" ht="22" customHeight="1">
      <x:c r="C27" s="12" t="str">
        <x:v>Unfunded first-year cash requirement</x:v>
      </x:c>
      <x:c r="D27" s="13" t="n">
        <x:f>MAX(D26-D25,0)</x:f>
        <x:v>17.17118126199999</x:v>
      </x:c>
      <x:c r="E27" s="13"/>
      <x:c r="F27" s="3"/>
      <x:c r="G27" s="3"/>
      <x:c r="H27" s="3"/>
      <x:c r="I27" s="3"/>
    </x:row>
    <x:row r="28" ht="22" customHeight="1">
      <x:c r="C28" s="2" t="str">
        <x:v>Cash debt-service coverage</x:v>
      </x:c>
      <x:c r="D28" s="42" t="n">
        <x:f>D25/D26</x:f>
        <x:v>-0.21488198820657803</x:v>
      </x:c>
      <x:c r="E28" s="3"/>
      <x:c r="F28" s="3"/>
      <x:c r="G28" s="3"/>
      <x:c r="H28" s="3"/>
      <x:c r="I28" s="3"/>
    </x:row>
    <x:row r="29" ht="22" customHeight="1">
      <x:c r="C29" s="2" t="str">
        <x:v>Seller principal after year-one PIK</x:v>
      </x:c>
      <x:c r="D29" s="35" t="n">
        <x:f>D15*(1+'Assumptions'!D36)</x:f>
        <x:v>122.67988979999997</x:v>
      </x:c>
      <x:c r="E29" s="3"/>
      <x:c r="F29" s="3"/>
      <x:c r="G29" s="3"/>
      <x:c r="H29" s="3"/>
      <x:c r="I29" s="3"/>
    </x:row>
    <x:row r="30" ht="22" customHeight="1">
      <x:c r="C30" s="2"/>
      <x:c r="D30" s="3"/>
      <x:c r="E30" s="3"/>
      <x:c r="F30" s="3"/>
      <x:c r="G30" s="3"/>
      <x:c r="H30" s="3"/>
      <x:c r="I30" s="3"/>
    </x:row>
    <x:row r="31" ht="22" customHeight="1">
      <x:c r="C31" s="2"/>
      <x:c r="D31" s="3"/>
      <x:c r="E31" s="3"/>
      <x:c r="F31" s="3"/>
      <x:c r="G31" s="3"/>
      <x:c r="H31" s="3"/>
      <x:c r="I31" s="3"/>
    </x:row>
    <x:row r="32" ht="45" customHeight="1">
      <x:c r="C32" s="19" t="str">
        <x:v>This is a financing-capacity screen for an illustrative employee buyout. There is no external sponsor equity in this structure. Any first-year gap is unfunded and is not silently treated as committed capital.</x:v>
      </x:c>
      <x:c r="D32" s="20"/>
      <x:c r="E32" s="20"/>
      <x:c r="F32" s="20"/>
      <x:c r="G32" s="20"/>
      <x:c r="H32" s="20"/>
      <x:c r="I32" s="20"/>
    </x:row>
    <x:row r="33" ht="22" customHeight="1">
      <x:c r="C33" s="2"/>
      <x:c r="D33" s="3"/>
      <x:c r="E33" s="3"/>
      <x:c r="F33" s="3"/>
      <x:c r="G33" s="3"/>
      <x:c r="H33" s="3"/>
      <x:c r="I33" s="3"/>
    </x:row>
    <x:row r="34" ht="22" customHeight="1">
      <x:c r="C34" s="2"/>
      <x:c r="D34" s="3"/>
      <x:c r="E34" s="3"/>
      <x:c r="F34" s="3"/>
      <x:c r="G34" s="3"/>
      <x:c r="H34" s="3"/>
      <x:c r="I34" s="3"/>
    </x:row>
    <x:row r="35" ht="45" customHeight="1">
      <x:c r="C35" s="19" t="str">
        <x:v>The seller note fills the purchase funding gap and carries the same cash/PIK terms as the comparison case. Actual ESOP financing and valuation require separate negotiation and review. Core Molding has not announced this transaction.</x:v>
      </x:c>
      <x:c r="D35" s="20"/>
      <x:c r="E35" s="20"/>
      <x:c r="F35" s="20"/>
      <x:c r="G35" s="20"/>
      <x:c r="H35" s="20"/>
      <x:c r="I35" s="20"/>
    </x:row>
    <x:row r="36" ht="22" customHeight="1">
      <x:c r="C36" s="2"/>
      <x:c r="D36" s="3"/>
      <x:c r="E36" s="3"/>
      <x:c r="F36" s="3"/>
      <x:c r="G36" s="3"/>
      <x:c r="H36" s="3"/>
      <x:c r="I36" s="3"/>
    </x:row>
    <x:row r="37" ht="22" customHeight="1">
      <x:c r="C37" s="2"/>
      <x:c r="D37" s="3"/>
      <x:c r="E37" s="3"/>
      <x:c r="F37" s="3"/>
      <x:c r="G37" s="3"/>
      <x:c r="H37" s="3"/>
      <x:c r="I37" s="3"/>
    </x:row>
    <x:row r="38" ht="50" customHeight="1">
      <x:c r="C38" s="19" t="str">
        <x:v>No ESOP tax advantage is assumed. Employee demographics, share-release schedules, distribution policy, repurchase obligations, trust accounting and independent valuation are outside this screen. No participant IRR or fund-level net return is calculated.</x:v>
      </x:c>
      <x:c r="D38" s="20"/>
      <x:c r="E38" s="20"/>
      <x:c r="F38" s="20"/>
      <x:c r="G38" s="20"/>
      <x:c r="H38" s="20"/>
      <x:c r="I38" s="20"/>
    </x:row>
    <x:row r="39" ht="22" customHeight="1">
      <x:c r="C39" s="2"/>
      <x:c r="D39" s="3"/>
      <x:c r="E39" s="3"/>
      <x:c r="F39" s="3"/>
      <x:c r="G39" s="3"/>
      <x:c r="H39" s="3"/>
      <x:c r="I39" s="3"/>
    </x:row>
    <x:row r="40" ht="22" customHeight="1">
      <x:c r="C40" s="2"/>
      <x:c r="D40" s="3"/>
      <x:c r="E40" s="3"/>
      <x:c r="F40" s="3"/>
      <x:c r="G40" s="3"/>
      <x:c r="H40" s="3"/>
      <x:c r="I40" s="3"/>
    </x:row>
    <x:row r="41" ht="45" customHeight="1">
      <x:c r="C41" s="19" t="str">
        <x:v>Sources S4-S6 explain seller financing, plan-loan share releases and repurchase considerations. Those mechanics are distinct from sponsor equity IRR and require additional information before a complete ESOP feasibility conclusion.</x:v>
      </x:c>
      <x:c r="D41" s="20"/>
      <x:c r="E41" s="20"/>
      <x:c r="F41" s="20"/>
      <x:c r="G41" s="20"/>
      <x:c r="H41" s="20"/>
      <x:c r="I41" s="20"/>
    </x:row>
    <x:row r="42" ht="22" customHeight="1">
      <x:c r="C42" s="2"/>
      <x:c r="D42" s="3"/>
      <x:c r="E42" s="3"/>
      <x:c r="F42" s="3"/>
      <x:c r="G42" s="3"/>
      <x:c r="H42" s="3"/>
      <x:c r="I42" s="3"/>
    </x:row>
    <x:row r="43" ht="22" customHeight="1">
      <x:c r="C43" s="2"/>
      <x:c r="D43" s="3"/>
      <x:c r="E43" s="3"/>
      <x:c r="F43" s="3"/>
      <x:c r="G43" s="3"/>
      <x:c r="H43" s="3"/>
      <x:c r="I43" s="3"/>
    </x:row>
    <x:row r="44" ht="22" customHeight="1">
      <x:c r="C44" s="2"/>
      <x:c r="D44" s="3"/>
      <x:c r="E44" s="3"/>
      <x:c r="F44" s="3"/>
      <x:c r="G44" s="3"/>
      <x:c r="H44" s="3"/>
      <x:c r="I44" s="3"/>
    </x:row>
    <x:row r="45" ht="22" customHeight="1">
      <x:c r="C45" s="2"/>
      <x:c r="D45" s="3"/>
      <x:c r="E45" s="3"/>
      <x:c r="F45" s="3"/>
      <x:c r="G45" s="3"/>
      <x:c r="H45" s="3"/>
      <x:c r="I45" s="3"/>
    </x:row>
    <x:row r="46" ht="22" customHeight="1">
      <x:c r="C46" s="2"/>
      <x:c r="D46" s="3"/>
      <x:c r="E46" s="3"/>
      <x:c r="F46" s="3"/>
      <x:c r="G46" s="3"/>
      <x:c r="H46" s="3"/>
      <x:c r="I46" s="3"/>
    </x:row>
    <x:row r="47" ht="22" customHeight="1">
      <x:c r="C47" s="2"/>
      <x:c r="D47" s="3"/>
      <x:c r="E47" s="3"/>
      <x:c r="F47" s="3"/>
      <x:c r="G47" s="3"/>
      <x:c r="H47" s="3"/>
      <x:c r="I47" s="3"/>
    </x:row>
    <x:row r="48" ht="22" customHeight="1">
      <x:c r="C48" s="2"/>
      <x:c r="D48" s="3"/>
      <x:c r="E48" s="3"/>
      <x:c r="F48" s="3"/>
      <x:c r="G48" s="3"/>
      <x:c r="H48" s="3"/>
      <x:c r="I48" s="3"/>
    </x:row>
    <x:row r="49" ht="22" customHeight="1">
      <x:c r="C49" s="2"/>
      <x:c r="D49" s="3"/>
      <x:c r="E49" s="3"/>
      <x:c r="F49" s="3"/>
      <x:c r="G49" s="3"/>
      <x:c r="H49" s="3"/>
      <x:c r="I49" s="3"/>
    </x:row>
    <x:row r="50" ht="22" customHeight="1">
      <x:c r="C50" s="2"/>
      <x:c r="D50" s="3"/>
      <x:c r="E50" s="3"/>
      <x:c r="F50" s="3"/>
      <x:c r="G50" s="3"/>
      <x:c r="H50" s="3"/>
      <x:c r="I50" s="3"/>
    </x:row>
    <x:row r="51" ht="22" customHeight="1">
      <x:c r="C51" s="2"/>
      <x:c r="D51" s="3"/>
      <x:c r="E51" s="3"/>
      <x:c r="F51" s="3"/>
      <x:c r="G51" s="3"/>
      <x:c r="H51" s="3"/>
      <x:c r="I51" s="3"/>
    </x:row>
    <x:row r="52" ht="22" customHeight="1">
      <x:c r="C52" s="2"/>
      <x:c r="D52" s="3"/>
      <x:c r="E52" s="3"/>
      <x:c r="F52" s="3"/>
      <x:c r="G52" s="3"/>
      <x:c r="H52" s="3"/>
      <x:c r="I52" s="3"/>
    </x:row>
    <x:row r="53" ht="22" customHeight="1">
      <x:c r="C53" s="2"/>
      <x:c r="D53" s="3"/>
      <x:c r="E53" s="3"/>
      <x:c r="F53" s="3"/>
      <x:c r="G53" s="3"/>
      <x:c r="H53" s="3"/>
      <x:c r="I53" s="3"/>
    </x:row>
    <x:row r="54" ht="22" customHeight="1">
      <x:c r="C54" s="2"/>
      <x:c r="D54" s="3"/>
      <x:c r="E54" s="3"/>
      <x:c r="F54" s="3"/>
      <x:c r="G54" s="3"/>
      <x:c r="H54" s="3"/>
      <x:c r="I54" s="3"/>
    </x:row>
    <x:row r="55" ht="22" customHeight="1">
      <x:c r="C55" s="2"/>
      <x:c r="D55" s="3"/>
      <x:c r="E55" s="3"/>
      <x:c r="F55" s="3"/>
      <x:c r="G55" s="3"/>
      <x:c r="H55" s="3"/>
      <x:c r="I55" s="3"/>
    </x:row>
    <x:row r="56" ht="22" customHeight="1">
      <x:c r="C56" s="2"/>
      <x:c r="D56" s="3"/>
      <x:c r="E56" s="3"/>
      <x:c r="F56" s="3"/>
      <x:c r="G56" s="3"/>
      <x:c r="H56" s="3"/>
      <x:c r="I56" s="3"/>
    </x:row>
    <x:row r="57" ht="22" customHeight="1">
      <x:c r="C57" s="2"/>
      <x:c r="D57" s="3"/>
      <x:c r="E57" s="3"/>
      <x:c r="F57" s="3"/>
      <x:c r="G57" s="3"/>
      <x:c r="H57" s="3"/>
      <x:c r="I57" s="3"/>
    </x:row>
    <x:row r="58" ht="22" customHeight="1">
      <x:c r="C58" s="2"/>
      <x:c r="D58" s="3"/>
      <x:c r="E58" s="3"/>
      <x:c r="F58" s="3"/>
      <x:c r="G58" s="3"/>
      <x:c r="H58" s="3"/>
      <x:c r="I58" s="3"/>
    </x:row>
    <x:row r="59" ht="22" customHeight="1">
      <x:c r="C59" s="2"/>
      <x:c r="D59" s="3"/>
      <x:c r="E59" s="3"/>
      <x:c r="F59" s="3"/>
      <x:c r="G59" s="3"/>
      <x:c r="H59" s="3"/>
      <x:c r="I59" s="3"/>
    </x:row>
    <x:row r="60" ht="22" customHeight="1">
      <x:c r="C60" s="2"/>
      <x:c r="D60" s="3"/>
      <x:c r="E60" s="3"/>
      <x:c r="F60" s="3"/>
      <x:c r="G60" s="3"/>
      <x:c r="H60" s="3"/>
      <x:c r="I60" s="3"/>
    </x:row>
    <x:row r="61" ht="22" customHeight="1">
      <x:c r="C61" s="2"/>
      <x:c r="D61" s="3"/>
      <x:c r="E61" s="3"/>
      <x:c r="F61" s="3"/>
      <x:c r="G61" s="3"/>
      <x:c r="H61" s="3"/>
      <x:c r="I61" s="3"/>
    </x:row>
    <x:row r="62" ht="22" customHeight="1">
      <x:c r="C62" s="2"/>
      <x:c r="D62" s="3"/>
      <x:c r="E62" s="3"/>
      <x:c r="F62" s="3"/>
      <x:c r="G62" s="3"/>
      <x:c r="H62" s="3"/>
      <x:c r="I62" s="3"/>
    </x:row>
    <x:row r="63" ht="22" customHeight="1">
      <x:c r="C63" s="2"/>
      <x:c r="D63" s="3"/>
      <x:c r="E63" s="3"/>
      <x:c r="F63" s="3"/>
      <x:c r="G63" s="3"/>
      <x:c r="H63" s="3"/>
      <x:c r="I63" s="3"/>
    </x:row>
    <x:row r="64" ht="22" customHeight="1">
      <x:c r="C64" s="2"/>
      <x:c r="D64" s="3"/>
      <x:c r="E64" s="3"/>
      <x:c r="F64" s="3"/>
      <x:c r="G64" s="3"/>
      <x:c r="H64" s="3"/>
      <x:c r="I64" s="3"/>
    </x:row>
    <x:row r="65" ht="22" customHeight="1">
      <x:c r="C65" s="2"/>
      <x:c r="D65" s="3"/>
      <x:c r="E65" s="3"/>
      <x:c r="F65" s="3"/>
      <x:c r="G65" s="3"/>
      <x:c r="H65" s="3"/>
      <x:c r="I65" s="3"/>
    </x:row>
    <x:row r="66" ht="22" customHeight="1">
      <x:c r="C66" s="2"/>
      <x:c r="D66" s="3"/>
      <x:c r="E66" s="3"/>
      <x:c r="F66" s="3"/>
      <x:c r="G66" s="3"/>
      <x:c r="H66" s="3"/>
      <x:c r="I66" s="3"/>
    </x:row>
    <x:row r="67" ht="22" customHeight="1">
      <x:c r="C67" s="2"/>
      <x:c r="D67" s="3"/>
      <x:c r="E67" s="3"/>
      <x:c r="F67" s="3"/>
      <x:c r="G67" s="3"/>
      <x:c r="H67" s="3"/>
      <x:c r="I67" s="3"/>
    </x:row>
    <x:row r="68" ht="22" customHeight="1">
      <x:c r="C68" s="2"/>
      <x:c r="D68" s="3"/>
      <x:c r="E68" s="3"/>
      <x:c r="F68" s="3"/>
      <x:c r="G68" s="3"/>
      <x:c r="H68" s="3"/>
      <x:c r="I68" s="3"/>
    </x:row>
    <x:row r="69" ht="22" customHeight="1">
      <x:c r="C69" s="2"/>
      <x:c r="D69" s="3"/>
      <x:c r="E69" s="3"/>
      <x:c r="F69" s="3"/>
      <x:c r="G69" s="3"/>
      <x:c r="H69" s="3"/>
      <x:c r="I69" s="3"/>
    </x:row>
    <x:row r="70" ht="22" customHeight="1">
      <x:c r="C70" s="2"/>
      <x:c r="D70" s="3"/>
      <x:c r="E70" s="3"/>
      <x:c r="F70" s="3"/>
      <x:c r="G70" s="3"/>
      <x:c r="H70" s="3"/>
      <x:c r="I70" s="3"/>
    </x:row>
    <x:row r="71" ht="22" customHeight="1">
      <x:c r="C71" s="2"/>
      <x:c r="D71" s="3"/>
      <x:c r="E71" s="3"/>
      <x:c r="F71" s="3"/>
      <x:c r="G71" s="3"/>
      <x:c r="H71" s="3"/>
      <x:c r="I71" s="3"/>
    </x:row>
    <x:row r="72" ht="22" customHeight="1">
      <x:c r="C72" s="2"/>
      <x:c r="D72" s="3"/>
      <x:c r="E72" s="3"/>
      <x:c r="F72" s="3"/>
      <x:c r="G72" s="3"/>
      <x:c r="H72" s="3"/>
      <x:c r="I72" s="3"/>
    </x:row>
    <x:row r="73" ht="22" customHeight="1">
      <x:c r="C73" s="2"/>
      <x:c r="D73" s="3"/>
      <x:c r="E73" s="3"/>
      <x:c r="F73" s="3"/>
      <x:c r="G73" s="3"/>
      <x:c r="H73" s="3"/>
      <x:c r="I73" s="3"/>
    </x:row>
    <x:row r="74" ht="22" customHeight="1">
      <x:c r="C74" s="2"/>
      <x:c r="D74" s="3"/>
      <x:c r="E74" s="3"/>
      <x:c r="F74" s="3"/>
      <x:c r="G74" s="3"/>
      <x:c r="H74" s="3"/>
      <x:c r="I74" s="3"/>
    </x:row>
    <x:row r="75" ht="22" customHeight="1">
      <x:c r="C75" s="2"/>
      <x:c r="D75" s="3"/>
      <x:c r="E75" s="3"/>
      <x:c r="F75" s="3"/>
      <x:c r="G75" s="3"/>
      <x:c r="H75" s="3"/>
      <x:c r="I75" s="3"/>
    </x:row>
    <x:row r="76" ht="22" customHeight="1">
      <x:c r="C76" s="2"/>
      <x:c r="D76" s="3"/>
      <x:c r="E76" s="3"/>
      <x:c r="F76" s="3"/>
      <x:c r="G76" s="3"/>
      <x:c r="H76" s="3"/>
      <x:c r="I76" s="3"/>
    </x:row>
    <x:row r="77" ht="22" customHeight="1">
      <x:c r="C77" s="2"/>
      <x:c r="D77" s="3"/>
      <x:c r="E77" s="3"/>
      <x:c r="F77" s="3"/>
      <x:c r="G77" s="3"/>
      <x:c r="H77" s="3"/>
      <x:c r="I77" s="3"/>
    </x:row>
    <x:row r="78" ht="22" customHeight="1">
      <x:c r="C78" s="2"/>
      <x:c r="D78" s="3"/>
      <x:c r="E78" s="3"/>
      <x:c r="F78" s="3"/>
      <x:c r="G78" s="3"/>
      <x:c r="H78" s="3"/>
      <x:c r="I78" s="3"/>
    </x:row>
    <x:row r="79" ht="22" customHeight="1">
      <x:c r="C79" s="2"/>
      <x:c r="D79" s="3"/>
      <x:c r="E79" s="3"/>
      <x:c r="F79" s="3"/>
      <x:c r="G79" s="3"/>
      <x:c r="H79" s="3"/>
      <x:c r="I79" s="3"/>
    </x:row>
    <x:row r="80" ht="22" customHeight="1">
      <x:c r="C80" s="2"/>
      <x:c r="D80" s="3"/>
      <x:c r="E80" s="3"/>
      <x:c r="F80" s="3"/>
      <x:c r="G80" s="3"/>
      <x:c r="H80" s="3"/>
      <x:c r="I80" s="3"/>
    </x:row>
    <x:row r="81" ht="22" customHeight="1">
      <x:c r="C81" s="2"/>
      <x:c r="D81" s="3"/>
      <x:c r="E81" s="3"/>
      <x:c r="F81" s="3"/>
      <x:c r="G81" s="3"/>
      <x:c r="H81" s="3"/>
      <x:c r="I81" s="3"/>
    </x:row>
    <x:row r="82" ht="22" customHeight="1">
      <x:c r="C82" s="2"/>
      <x:c r="D82" s="3"/>
      <x:c r="E82" s="3"/>
      <x:c r="F82" s="3"/>
      <x:c r="G82" s="3"/>
      <x:c r="H82" s="3"/>
      <x:c r="I82" s="3"/>
    </x:row>
    <x:row r="83" ht="22" customHeight="1">
      <x:c r="C83" s="2"/>
      <x:c r="D83" s="3"/>
      <x:c r="E83" s="3"/>
      <x:c r="F83" s="3"/>
      <x:c r="G83" s="3"/>
      <x:c r="H83" s="3"/>
      <x:c r="I83" s="3"/>
    </x:row>
    <x:row r="84" ht="22" customHeight="1">
      <x:c r="C84" s="2"/>
      <x:c r="D84" s="3"/>
      <x:c r="E84" s="3"/>
      <x:c r="F84" s="3"/>
      <x:c r="G84" s="3"/>
      <x:c r="H84" s="3"/>
      <x:c r="I84" s="3"/>
    </x:row>
    <x:row r="85" ht="22" customHeight="1">
      <x:c r="C85" s="2"/>
      <x:c r="D85" s="3"/>
      <x:c r="E85" s="3"/>
      <x:c r="F85" s="3"/>
      <x:c r="G85" s="3"/>
      <x:c r="H85" s="3"/>
      <x:c r="I85" s="3"/>
    </x:row>
    <x:row r="86" ht="22" customHeight="1">
      <x:c r="C86" s="2"/>
      <x:c r="D86" s="3"/>
      <x:c r="E86" s="3"/>
      <x:c r="F86" s="3"/>
      <x:c r="G86" s="3"/>
      <x:c r="H86" s="3"/>
      <x:c r="I86" s="3"/>
    </x:row>
    <x:row r="87" ht="22" customHeight="1">
      <x:c r="C87" s="2"/>
      <x:c r="D87" s="3"/>
      <x:c r="E87" s="3"/>
      <x:c r="F87" s="3"/>
      <x:c r="G87" s="3"/>
      <x:c r="H87" s="3"/>
      <x:c r="I87" s="3"/>
    </x:row>
    <x:row r="88" ht="22" customHeight="1">
      <x:c r="C88" s="2"/>
      <x:c r="D88" s="3"/>
      <x:c r="E88" s="3"/>
      <x:c r="F88" s="3"/>
      <x:c r="G88" s="3"/>
      <x:c r="H88" s="3"/>
      <x:c r="I88" s="3"/>
    </x:row>
    <x:row r="89" ht="22" customHeight="1">
      <x:c r="C89" s="2"/>
      <x:c r="D89" s="3"/>
      <x:c r="E89" s="3"/>
      <x:c r="F89" s="3"/>
      <x:c r="G89" s="3"/>
      <x:c r="H89" s="3"/>
      <x:c r="I89" s="3"/>
    </x:row>
    <x:row r="90" ht="22" customHeight="1">
      <x:c r="C90" s="2"/>
      <x:c r="D90" s="3"/>
      <x:c r="E90" s="3"/>
      <x:c r="F90" s="3"/>
      <x:c r="G90" s="3"/>
      <x:c r="H90" s="3"/>
      <x:c r="I90" s="3"/>
    </x:row>
    <x:row r="91" ht="22" customHeight="1">
      <x:c r="C91" s="2"/>
      <x:c r="D91" s="3"/>
      <x:c r="E91" s="3"/>
      <x:c r="F91" s="3"/>
      <x:c r="G91" s="3"/>
      <x:c r="H91" s="3"/>
      <x:c r="I91" s="3"/>
    </x:row>
    <x:row r="92" ht="22" customHeight="1">
      <x:c r="C92" s="2"/>
      <x:c r="D92" s="3"/>
      <x:c r="E92" s="3"/>
      <x:c r="F92" s="3"/>
      <x:c r="G92" s="3"/>
      <x:c r="H92" s="3"/>
      <x:c r="I92" s="3"/>
    </x:row>
    <x:row r="93" ht="22" customHeight="1">
      <x:c r="C93" s="2"/>
      <x:c r="D93" s="3"/>
      <x:c r="E93" s="3"/>
      <x:c r="F93" s="3"/>
      <x:c r="G93" s="3"/>
      <x:c r="H93" s="3"/>
      <x:c r="I93" s="3"/>
    </x:row>
    <x:row r="94" ht="22" customHeight="1">
      <x:c r="C94" s="2"/>
      <x:c r="D94" s="3"/>
      <x:c r="E94" s="3"/>
      <x:c r="F94" s="3"/>
      <x:c r="G94" s="3"/>
      <x:c r="H94" s="3"/>
      <x:c r="I94" s="3"/>
    </x:row>
    <x:row r="95" ht="22" customHeight="1">
      <x:c r="C95" s="2"/>
      <x:c r="D95" s="3"/>
      <x:c r="E95" s="3"/>
      <x:c r="F95" s="3"/>
      <x:c r="G95" s="3"/>
      <x:c r="H95" s="3"/>
      <x:c r="I95" s="3"/>
    </x:row>
    <x:row r="96" ht="22" customHeight="1">
      <x:c r="C96" s="2"/>
      <x:c r="D96" s="3"/>
      <x:c r="E96" s="3"/>
      <x:c r="F96" s="3"/>
      <x:c r="G96" s="3"/>
      <x:c r="H96" s="3"/>
      <x:c r="I96" s="3"/>
    </x:row>
    <x:row r="97" ht="22" customHeight="1">
      <x:c r="C97" s="2"/>
      <x:c r="D97" s="3"/>
      <x:c r="E97" s="3"/>
      <x:c r="F97" s="3"/>
      <x:c r="G97" s="3"/>
      <x:c r="H97" s="3"/>
      <x:c r="I97" s="3"/>
    </x:row>
    <x:row r="98" ht="22" customHeight="1">
      <x:c r="C98" s="2"/>
      <x:c r="D98" s="3"/>
      <x:c r="E98" s="3"/>
      <x:c r="F98" s="3"/>
      <x:c r="G98" s="3"/>
      <x:c r="H98" s="3"/>
      <x:c r="I98" s="3"/>
    </x:row>
    <x:row r="99" ht="22" customHeight="1">
      <x:c r="C99" s="2"/>
      <x:c r="D99" s="3"/>
      <x:c r="E99" s="3"/>
      <x:c r="F99" s="3"/>
      <x:c r="G99" s="3"/>
      <x:c r="H99" s="3"/>
      <x:c r="I99" s="3"/>
    </x:row>
    <x:row r="100" ht="22" customHeight="1">
      <x:c r="C100" s="2"/>
      <x:c r="D100" s="3"/>
      <x:c r="E100" s="3"/>
      <x:c r="F100" s="3"/>
      <x:c r="G100" s="3"/>
      <x:c r="H100" s="3"/>
      <x:c r="I100" s="3"/>
    </x:row>
  </x:sheetData>
  <x:mergeCells>
    <x:mergeCell ref="C1:I1"/>
    <x:mergeCell ref="C2:I2"/>
    <x:mergeCell ref="C32:I32"/>
    <x:mergeCell ref="C35:I35"/>
    <x:mergeCell ref="C38:I38"/>
    <x:mergeCell ref="C41:I4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43"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ht="32" customHeight="1">
      <x:c r="C1" s="4" t="str">
        <x:v>Core Molding sources</x:v>
      </x:c>
      <x:c r="D1" s="4"/>
      <x:c r="E1" s="4"/>
      <x:c r="F1" s="4"/>
      <x:c r="G1" s="4"/>
      <x:c r="H1" s="4"/>
      <x:c r="I1" s="4"/>
    </x:row>
    <x:row r="2" ht="24" customHeight="1">
      <x:c r="C2" s="5" t="str">
        <x:v>Independent investment case | USD millions unless stated | Prepared October 1, 2026</x:v>
      </x:c>
      <x:c r="D2" s="5"/>
      <x:c r="E2" s="5"/>
      <x:c r="F2" s="5"/>
      <x:c r="G2" s="5"/>
      <x:c r="H2" s="5"/>
      <x:c r="I2" s="5"/>
    </x:row>
    <x:row r="3" ht="22" customHeight="1">
      <x:c r="C3" s="2"/>
      <x:c r="D3" s="2"/>
      <x:c r="E3" s="2"/>
      <x:c r="F3" s="2"/>
      <x:c r="G3" s="2"/>
      <x:c r="H3" s="2"/>
      <x:c r="I3" s="2"/>
    </x:row>
    <x:row r="4" ht="22" customHeight="1">
      <x:c r="C4" s="2"/>
      <x:c r="D4" s="2"/>
      <x:c r="E4" s="2"/>
      <x:c r="F4" s="2"/>
      <x:c r="G4" s="2"/>
      <x:c r="H4" s="2"/>
      <x:c r="I4" s="2"/>
    </x:row>
    <x:row r="5" ht="22" customHeight="1">
      <x:c r="C5" s="2"/>
      <x:c r="D5" s="2"/>
      <x:c r="E5" s="2"/>
      <x:c r="F5" s="2"/>
      <x:c r="G5" s="2"/>
      <x:c r="H5" s="2"/>
      <x:c r="I5" s="2"/>
    </x:row>
    <x:row r="6" ht="24" customHeight="1">
      <x:c r="C6" s="7" t="str">
        <x:v>S1  FY 2025 financial results</x:v>
      </x:c>
      <x:c r="D6" s="7"/>
      <x:c r="E6" s="7"/>
      <x:c r="F6" s="7"/>
      <x:c r="G6" s="7"/>
      <x:c r="H6" s="7"/>
      <x:c r="I6" s="7"/>
    </x:row>
    <x:row r="7" ht="36" customHeight="1">
      <x:c r="C7" s="19" t="str">
        <x:v>https://coremt.com/core-molding-technologies-reports-full-year-and-fourth-quarter-2025-results/</x:v>
      </x:c>
      <x:c r="D7" s="20"/>
      <x:c r="E7" s="20"/>
      <x:c r="F7" s="20"/>
      <x:c r="G7" s="20"/>
      <x:c r="H7" s="20"/>
      <x:c r="I7" s="20"/>
    </x:row>
    <x:row r="8" ht="36" customHeight="1">
      <x:c r="C8" s="19" t="str">
        <x:v>Published March 10, 2026. Income statement, cash flow, balance sheet and adjusted EBITDA.</x:v>
      </x:c>
      <x:c r="D8" s="20"/>
      <x:c r="E8" s="20"/>
      <x:c r="F8" s="20"/>
      <x:c r="G8" s="20"/>
      <x:c r="H8" s="20"/>
      <x:c r="I8" s="20"/>
    </x:row>
    <x:row r="9" ht="22" customHeight="1">
      <x:c r="C9" s="2"/>
      <x:c r="D9" s="3"/>
      <x:c r="E9" s="3"/>
      <x:c r="F9" s="3"/>
      <x:c r="G9" s="3"/>
      <x:c r="H9" s="3"/>
      <x:c r="I9" s="3"/>
    </x:row>
    <x:row r="10" ht="22" customHeight="1">
      <x:c r="C10" s="2"/>
      <x:c r="D10" s="3"/>
      <x:c r="E10" s="3"/>
      <x:c r="F10" s="3"/>
      <x:c r="G10" s="3"/>
      <x:c r="H10" s="3"/>
      <x:c r="I10" s="3"/>
    </x:row>
    <x:row r="11" ht="24" customHeight="1">
      <x:c r="C11" s="7" t="str">
        <x:v>S2  H1 2026 financial results</x:v>
      </x:c>
      <x:c r="D11" s="15"/>
      <x:c r="E11" s="15"/>
      <x:c r="F11" s="15"/>
      <x:c r="G11" s="15"/>
      <x:c r="H11" s="15"/>
      <x:c r="I11" s="15"/>
    </x:row>
    <x:row r="12" ht="36" customHeight="1">
      <x:c r="C12" s="19" t="str">
        <x:v>https://coremt.com/core-molding-technologies-reports-fiscal-2026-second-quarter-results/</x:v>
      </x:c>
      <x:c r="D12" s="20"/>
      <x:c r="E12" s="20"/>
      <x:c r="F12" s="20"/>
      <x:c r="G12" s="20"/>
      <x:c r="H12" s="20"/>
      <x:c r="I12" s="20"/>
    </x:row>
    <x:row r="13" ht="36" customHeight="1">
      <x:c r="C13" s="19" t="str">
        <x:v>Published August 4, 2026. Comparative H1 data and June 30 balance sheet.</x:v>
      </x:c>
      <x:c r="D13" s="20"/>
      <x:c r="E13" s="20"/>
      <x:c r="F13" s="20"/>
      <x:c r="G13" s="20"/>
      <x:c r="H13" s="20"/>
      <x:c r="I13" s="20"/>
    </x:row>
    <x:row r="14" ht="22" customHeight="1">
      <x:c r="C14" s="2"/>
      <x:c r="D14" s="3"/>
      <x:c r="E14" s="3"/>
      <x:c r="F14" s="3"/>
      <x:c r="G14" s="3"/>
      <x:c r="H14" s="3"/>
      <x:c r="I14" s="3"/>
    </x:row>
    <x:row r="15" ht="22" customHeight="1">
      <x:c r="C15" s="2"/>
      <x:c r="D15" s="3"/>
      <x:c r="E15" s="3"/>
      <x:c r="F15" s="3"/>
      <x:c r="G15" s="3"/>
      <x:c r="H15" s="3"/>
      <x:c r="I15" s="3"/>
    </x:row>
    <x:row r="16" ht="24" customHeight="1">
      <x:c r="C16" s="7" t="str">
        <x:v>S3  2025 annual report</x:v>
      </x:c>
      <x:c r="D16" s="15"/>
      <x:c r="E16" s="15"/>
      <x:c r="F16" s="15"/>
      <x:c r="G16" s="15"/>
      <x:c r="H16" s="15"/>
      <x:c r="I16" s="15"/>
    </x:row>
    <x:row r="17" ht="36" customHeight="1">
      <x:c r="C17" s="19" t="str">
        <x:v>https://coremt.com/core-molding-technologies-inc_10k_2026_v2_cwo-72583/</x:v>
      </x:c>
      <x:c r="D17" s="20"/>
      <x:c r="E17" s="20"/>
      <x:c r="F17" s="20"/>
      <x:c r="G17" s="20"/>
      <x:c r="H17" s="20"/>
      <x:c r="I17" s="20"/>
    </x:row>
    <x:row r="18" ht="36" customHeight="1">
      <x:c r="C18" s="19" t="str">
        <x:v>Primary annual filing. Download preserved in source materials.</x:v>
      </x:c>
      <x:c r="D18" s="20"/>
      <x:c r="E18" s="20"/>
      <x:c r="F18" s="20"/>
      <x:c r="G18" s="20"/>
      <x:c r="H18" s="20"/>
      <x:c r="I18" s="20"/>
    </x:row>
    <x:row r="19" ht="22" customHeight="1">
      <x:c r="C19" s="2"/>
      <x:c r="D19" s="3"/>
      <x:c r="E19" s="3"/>
      <x:c r="F19" s="3"/>
      <x:c r="G19" s="3"/>
      <x:c r="H19" s="3"/>
      <x:c r="I19" s="3"/>
    </x:row>
    <x:row r="20" ht="22" customHeight="1">
      <x:c r="C20" s="2"/>
      <x:c r="D20" s="3"/>
      <x:c r="E20" s="3"/>
      <x:c r="F20" s="3"/>
      <x:c r="G20" s="3"/>
      <x:c r="H20" s="3"/>
      <x:c r="I20" s="3"/>
    </x:row>
    <x:row r="21" ht="24" customHeight="1">
      <x:c r="C21" s="7" t="str">
        <x:v>S4  NCEO employee ownership FAQ</x:v>
      </x:c>
      <x:c r="D21" s="15"/>
      <x:c r="E21" s="15"/>
      <x:c r="F21" s="15"/>
      <x:c r="G21" s="15"/>
      <x:c r="H21" s="15"/>
      <x:c r="I21" s="15"/>
    </x:row>
    <x:row r="22" ht="36" customHeight="1">
      <x:c r="C22" s="19" t="str">
        <x:v>https://www.nceo.org/employee-ownership-faq</x:v>
      </x:c>
      <x:c r="D22" s="20"/>
      <x:c r="E22" s="20"/>
      <x:c r="F22" s="20"/>
      <x:c r="G22" s="20"/>
      <x:c r="H22" s="20"/>
      <x:c r="I22" s="20"/>
    </x:row>
    <x:row r="23" ht="36" customHeight="1">
      <x:c r="C23" s="19" t="str">
        <x:v>Seller financing context. Not a financing quote or a tax assumption.</x:v>
      </x:c>
      <x:c r="D23" s="20"/>
      <x:c r="E23" s="20"/>
      <x:c r="F23" s="20"/>
      <x:c r="G23" s="20"/>
      <x:c r="H23" s="20"/>
      <x:c r="I23" s="20"/>
    </x:row>
    <x:row r="24" ht="22" customHeight="1">
      <x:c r="C24" s="2"/>
      <x:c r="D24" s="3"/>
      <x:c r="E24" s="3"/>
      <x:c r="F24" s="3"/>
      <x:c r="G24" s="3"/>
      <x:c r="H24" s="3"/>
      <x:c r="I24" s="3"/>
    </x:row>
    <x:row r="25" ht="22" customHeight="1">
      <x:c r="C25" s="2"/>
      <x:c r="D25" s="3"/>
      <x:c r="E25" s="3"/>
      <x:c r="F25" s="3"/>
      <x:c r="G25" s="3"/>
      <x:c r="H25" s="3"/>
      <x:c r="I25" s="3"/>
    </x:row>
    <x:row r="26" ht="24" customHeight="1">
      <x:c r="C26" s="7" t="str">
        <x:v>S5  DOL ESOP loan guidance</x:v>
      </x:c>
      <x:c r="D26" s="15"/>
      <x:c r="E26" s="15"/>
      <x:c r="F26" s="15"/>
      <x:c r="G26" s="15"/>
      <x:c r="H26" s="15"/>
      <x:c r="I26" s="15"/>
    </x:row>
    <x:row r="27" ht="36" customHeight="1">
      <x:c r="C27" s="19" t="str">
        <x:v>https://www.dol.gov/agencies/ebsa/employers-and-advisers/guidance/field-assistance-bulletins/2002-01</x:v>
      </x:c>
      <x:c r="D27" s="20"/>
      <x:c r="E27" s="20"/>
      <x:c r="F27" s="20"/>
      <x:c r="G27" s="20"/>
      <x:c r="H27" s="20"/>
      <x:c r="I27" s="20"/>
    </x:row>
    <x:row r="28" ht="36" customHeight="1">
      <x:c r="C28" s="19" t="str">
        <x:v>Plan loans and share-release mechanics.</x:v>
      </x:c>
      <x:c r="D28" s="20"/>
      <x:c r="E28" s="20"/>
      <x:c r="F28" s="20"/>
      <x:c r="G28" s="20"/>
      <x:c r="H28" s="20"/>
      <x:c r="I28" s="20"/>
    </x:row>
    <x:row r="29" ht="22" customHeight="1">
      <x:c r="C29" s="2"/>
      <x:c r="D29" s="3"/>
      <x:c r="E29" s="3"/>
      <x:c r="F29" s="3"/>
      <x:c r="G29" s="3"/>
      <x:c r="H29" s="3"/>
      <x:c r="I29" s="3"/>
    </x:row>
    <x:row r="30" ht="22" customHeight="1">
      <x:c r="C30" s="2"/>
      <x:c r="D30" s="3"/>
      <x:c r="E30" s="3"/>
      <x:c r="F30" s="3"/>
      <x:c r="G30" s="3"/>
      <x:c r="H30" s="3"/>
      <x:c r="I30" s="3"/>
    </x:row>
    <x:row r="31" ht="24" customHeight="1">
      <x:c r="C31" s="7" t="str">
        <x:v>S6  NCEO repurchase obligation handbook</x:v>
      </x:c>
      <x:c r="D31" s="15"/>
      <x:c r="E31" s="15"/>
      <x:c r="F31" s="15"/>
      <x:c r="G31" s="15"/>
      <x:c r="H31" s="15"/>
      <x:c r="I31" s="15"/>
    </x:row>
    <x:row r="32" ht="36" customHeight="1">
      <x:c r="C32" s="19" t="str">
        <x:v>https://www.nceo.org/publications/esop-repurchase-obligation-handbook</x:v>
      </x:c>
      <x:c r="D32" s="20"/>
      <x:c r="E32" s="20"/>
      <x:c r="F32" s="20"/>
      <x:c r="G32" s="20"/>
      <x:c r="H32" s="20"/>
      <x:c r="I32" s="20"/>
    </x:row>
    <x:row r="33" ht="36" customHeight="1">
      <x:c r="C33" s="19" t="str">
        <x:v>Repurchase obligations require a separate workforce-based forecast.</x:v>
      </x:c>
      <x:c r="D33" s="20"/>
      <x:c r="E33" s="20"/>
      <x:c r="F33" s="20"/>
      <x:c r="G33" s="20"/>
      <x:c r="H33" s="20"/>
      <x:c r="I33" s="20"/>
    </x:row>
    <x:row r="34" ht="22" customHeight="1">
      <x:c r="C34" s="2"/>
      <x:c r="D34" s="3"/>
      <x:c r="E34" s="3"/>
      <x:c r="F34" s="3"/>
      <x:c r="G34" s="3"/>
      <x:c r="H34" s="3"/>
      <x:c r="I34" s="3"/>
    </x:row>
    <x:row r="35" ht="22" customHeight="1">
      <x:c r="C35" s="2"/>
      <x:c r="D35" s="3"/>
      <x:c r="E35" s="3"/>
      <x:c r="F35" s="3"/>
      <x:c r="G35" s="3"/>
      <x:c r="H35" s="3"/>
      <x:c r="I35" s="3"/>
    </x:row>
    <x:row r="36" ht="22" customHeight="1">
      <x:c r="C36" s="2"/>
      <x:c r="D36" s="3"/>
      <x:c r="E36" s="3"/>
      <x:c r="F36" s="3"/>
      <x:c r="G36" s="3"/>
      <x:c r="H36" s="3"/>
      <x:c r="I36" s="3"/>
    </x:row>
    <x:row r="37" ht="22" customHeight="1">
      <x:c r="C37" s="2"/>
      <x:c r="D37" s="3"/>
      <x:c r="E37" s="3"/>
      <x:c r="F37" s="3"/>
      <x:c r="G37" s="3"/>
      <x:c r="H37" s="3"/>
      <x:c r="I37" s="3"/>
    </x:row>
    <x:row r="38" ht="45" customHeight="1">
      <x:c r="C38" s="19" t="str">
        <x:v>Financial data cutoff: June 30, 2026 reports, reviewed October 1, 2026. No market-price premium or comparable-company trading multiple is asserted. An entry/exit multiple range is an analyst sensitivity.</x:v>
      </x:c>
      <x:c r="D38" s="20"/>
      <x:c r="E38" s="20"/>
      <x:c r="F38" s="20"/>
      <x:c r="G38" s="20"/>
      <x:c r="H38" s="20"/>
      <x:c r="I38" s="20"/>
    </x:row>
    <x:row r="39" ht="22" customHeight="1">
      <x:c r="C39" s="2"/>
      <x:c r="D39" s="3"/>
      <x:c r="E39" s="3"/>
      <x:c r="F39" s="3"/>
      <x:c r="G39" s="3"/>
      <x:c r="H39" s="3"/>
      <x:c r="I39" s="3"/>
    </x:row>
    <x:row r="40" ht="22" customHeight="1">
      <x:c r="C40" s="2"/>
      <x:c r="D40" s="3"/>
      <x:c r="E40" s="3"/>
      <x:c r="F40" s="3"/>
      <x:c r="G40" s="3"/>
      <x:c r="H40" s="3"/>
      <x:c r="I40" s="3"/>
    </x:row>
    <x:row r="41" ht="46" customHeight="1">
      <x:c r="C41" s="19" t="str">
        <x:v>Values are in USD millions. Positive capex and working-capital increases consume cash. Interest uses beginning debt. No cash is distributed before exit. The model assumes follow-on equity can be raised and reports that requirement explicitly.</x:v>
      </x:c>
      <x:c r="D41" s="20"/>
      <x:c r="E41" s="20"/>
      <x:c r="F41" s="20"/>
      <x:c r="G41" s="20"/>
      <x:c r="H41" s="20"/>
      <x:c r="I41" s="20"/>
    </x:row>
    <x:row r="42" ht="22" customHeight="1">
      <x:c r="C42" s="2"/>
      <x:c r="D42" s="3"/>
      <x:c r="E42" s="3"/>
      <x:c r="F42" s="3"/>
      <x:c r="G42" s="3"/>
      <x:c r="H42" s="3"/>
      <x:c r="I42" s="3"/>
    </x:row>
    <x:row r="43" ht="22" customHeight="1">
      <x:c r="C43" s="2"/>
      <x:c r="D43" s="3"/>
      <x:c r="E43" s="3"/>
      <x:c r="F43" s="3"/>
      <x:c r="G43" s="3"/>
      <x:c r="H43" s="3"/>
      <x:c r="I43" s="3"/>
    </x:row>
    <x:row r="44" ht="46" customHeight="1">
      <x:c r="C44" s="19" t="str">
        <x:v>A 6.0x multiple is applied to reported-definition adjusted EBITDA. Its cash quality is tested separately through compensation, cash launch costs, capital expenditure and working capital. A buyer should validate adjustments before using that earnings base.</x:v>
      </x:c>
      <x:c r="D44" s="20"/>
      <x:c r="E44" s="20"/>
      <x:c r="F44" s="20"/>
      <x:c r="G44" s="20"/>
      <x:c r="H44" s="20"/>
      <x:c r="I44" s="20"/>
    </x:row>
    <x:row r="45" ht="22" customHeight="1">
      <x:c r="C45" s="2"/>
      <x:c r="D45" s="3"/>
      <x:c r="E45" s="3"/>
      <x:c r="F45" s="3"/>
      <x:c r="G45" s="3"/>
      <x:c r="H45" s="3"/>
      <x:c r="I45" s="3"/>
    </x:row>
    <x:row r="46" ht="22" customHeight="1">
      <x:c r="C46" s="2"/>
      <x:c r="D46" s="3"/>
      <x:c r="E46" s="3"/>
      <x:c r="F46" s="3"/>
      <x:c r="G46" s="3"/>
      <x:c r="H46" s="3"/>
      <x:c r="I46" s="3"/>
    </x:row>
    <x:row r="47" ht="46" customHeight="1">
      <x:c r="C47" s="19" t="str">
        <x:v>The historical cash-flow table defines free cash flow as operating cash flow less capex. The FY 2025 release narrative mentions working capital separately, but working-capital movements are already in CFO and are not deducted a second time here.</x:v>
      </x:c>
      <x:c r="D47" s="20"/>
      <x:c r="E47" s="20"/>
      <x:c r="F47" s="20"/>
      <x:c r="G47" s="20"/>
      <x:c r="H47" s="20"/>
      <x:c r="I47" s="20"/>
    </x:row>
    <x:row r="48" ht="22" customHeight="1">
      <x:c r="C48" s="2"/>
      <x:c r="D48" s="3"/>
      <x:c r="E48" s="3"/>
      <x:c r="F48" s="3"/>
      <x:c r="G48" s="3"/>
      <x:c r="H48" s="3"/>
      <x:c r="I48" s="3"/>
    </x:row>
    <x:row r="49" ht="22" customHeight="1">
      <x:c r="C49" s="2"/>
      <x:c r="D49" s="3"/>
      <x:c r="E49" s="3"/>
      <x:c r="F49" s="3"/>
      <x:c r="G49" s="3"/>
      <x:c r="H49" s="3"/>
      <x:c r="I49" s="3"/>
    </x:row>
    <x:row r="50" ht="42" customHeight="1">
      <x:c r="C50" s="19" t="str">
        <x:v>Prepared with AI assistance as an independent financial modeling case. Public company facts are linked above. All acquisition structures and projected outcomes are assumptions calculated in this workbook.</x:v>
      </x:c>
      <x:c r="D50" s="20"/>
      <x:c r="E50" s="20"/>
      <x:c r="F50" s="20"/>
      <x:c r="G50" s="20"/>
      <x:c r="H50" s="20"/>
      <x:c r="I50" s="20"/>
    </x:row>
    <x:row r="51" ht="22" customHeight="1">
      <x:c r="C51" s="2"/>
      <x:c r="D51" s="3"/>
      <x:c r="E51" s="3"/>
      <x:c r="F51" s="3"/>
      <x:c r="G51" s="3"/>
      <x:c r="H51" s="3"/>
      <x:c r="I51" s="3"/>
    </x:row>
    <x:row r="52" ht="22" customHeight="1">
      <x:c r="C52" s="2"/>
      <x:c r="D52" s="3"/>
      <x:c r="E52" s="3"/>
      <x:c r="F52" s="3"/>
      <x:c r="G52" s="3"/>
      <x:c r="H52" s="3"/>
      <x:c r="I52" s="3"/>
    </x:row>
    <x:row r="53" ht="22" customHeight="1">
      <x:c r="C53" s="2"/>
      <x:c r="D53" s="3"/>
      <x:c r="E53" s="3"/>
      <x:c r="F53" s="3"/>
      <x:c r="G53" s="3"/>
      <x:c r="H53" s="3"/>
      <x:c r="I53" s="3"/>
    </x:row>
    <x:row r="54" ht="22" customHeight="1">
      <x:c r="C54" s="2"/>
      <x:c r="D54" s="3"/>
      <x:c r="E54" s="3"/>
      <x:c r="F54" s="3"/>
      <x:c r="G54" s="3"/>
      <x:c r="H54" s="3"/>
      <x:c r="I54" s="3"/>
    </x:row>
    <x:row r="55" ht="22" customHeight="1">
      <x:c r="C55" s="2"/>
      <x:c r="D55" s="3"/>
      <x:c r="E55" s="3"/>
      <x:c r="F55" s="3"/>
      <x:c r="G55" s="3"/>
      <x:c r="H55" s="3"/>
      <x:c r="I55" s="3"/>
    </x:row>
    <x:row r="56" ht="22" customHeight="1">
      <x:c r="C56" s="2"/>
      <x:c r="D56" s="3"/>
      <x:c r="E56" s="3"/>
      <x:c r="F56" s="3"/>
      <x:c r="G56" s="3"/>
      <x:c r="H56" s="3"/>
      <x:c r="I56" s="3"/>
    </x:row>
    <x:row r="57" ht="22" customHeight="1">
      <x:c r="C57" s="2"/>
      <x:c r="D57" s="3"/>
      <x:c r="E57" s="3"/>
      <x:c r="F57" s="3"/>
      <x:c r="G57" s="3"/>
      <x:c r="H57" s="3"/>
      <x:c r="I57" s="3"/>
    </x:row>
    <x:row r="58" ht="22" customHeight="1">
      <x:c r="C58" s="2"/>
      <x:c r="D58" s="3"/>
      <x:c r="E58" s="3"/>
      <x:c r="F58" s="3"/>
      <x:c r="G58" s="3"/>
      <x:c r="H58" s="3"/>
      <x:c r="I58" s="3"/>
    </x:row>
    <x:row r="59" ht="22" customHeight="1">
      <x:c r="C59" s="2"/>
      <x:c r="D59" s="3"/>
      <x:c r="E59" s="3"/>
      <x:c r="F59" s="3"/>
      <x:c r="G59" s="3"/>
      <x:c r="H59" s="3"/>
      <x:c r="I59" s="3"/>
    </x:row>
    <x:row r="60" ht="22" customHeight="1">
      <x:c r="C60" s="2"/>
      <x:c r="D60" s="3"/>
      <x:c r="E60" s="3"/>
      <x:c r="F60" s="3"/>
      <x:c r="G60" s="3"/>
      <x:c r="H60" s="3"/>
      <x:c r="I60" s="3"/>
    </x:row>
    <x:row r="61" ht="22" customHeight="1">
      <x:c r="C61" s="2"/>
      <x:c r="D61" s="3"/>
      <x:c r="E61" s="3"/>
      <x:c r="F61" s="3"/>
      <x:c r="G61" s="3"/>
      <x:c r="H61" s="3"/>
      <x:c r="I61" s="3"/>
    </x:row>
    <x:row r="62" ht="22" customHeight="1">
      <x:c r="C62" s="2"/>
      <x:c r="D62" s="3"/>
      <x:c r="E62" s="3"/>
      <x:c r="F62" s="3"/>
      <x:c r="G62" s="3"/>
      <x:c r="H62" s="3"/>
      <x:c r="I62" s="3"/>
    </x:row>
    <x:row r="63" ht="22" customHeight="1">
      <x:c r="C63" s="2"/>
      <x:c r="D63" s="3"/>
      <x:c r="E63" s="3"/>
      <x:c r="F63" s="3"/>
      <x:c r="G63" s="3"/>
      <x:c r="H63" s="3"/>
      <x:c r="I63" s="3"/>
    </x:row>
    <x:row r="64" ht="22" customHeight="1">
      <x:c r="C64" s="2"/>
      <x:c r="D64" s="3"/>
      <x:c r="E64" s="3"/>
      <x:c r="F64" s="3"/>
      <x:c r="G64" s="3"/>
      <x:c r="H64" s="3"/>
      <x:c r="I64" s="3"/>
    </x:row>
    <x:row r="65" ht="22" customHeight="1">
      <x:c r="C65" s="2"/>
      <x:c r="D65" s="3"/>
      <x:c r="E65" s="3"/>
      <x:c r="F65" s="3"/>
      <x:c r="G65" s="3"/>
      <x:c r="H65" s="3"/>
      <x:c r="I65" s="3"/>
    </x:row>
    <x:row r="66" ht="22" customHeight="1">
      <x:c r="C66" s="2"/>
      <x:c r="D66" s="3"/>
      <x:c r="E66" s="3"/>
      <x:c r="F66" s="3"/>
      <x:c r="G66" s="3"/>
      <x:c r="H66" s="3"/>
      <x:c r="I66" s="3"/>
    </x:row>
    <x:row r="67" ht="22" customHeight="1">
      <x:c r="C67" s="2"/>
      <x:c r="D67" s="3"/>
      <x:c r="E67" s="3"/>
      <x:c r="F67" s="3"/>
      <x:c r="G67" s="3"/>
      <x:c r="H67" s="3"/>
      <x:c r="I67" s="3"/>
    </x:row>
    <x:row r="68" ht="22" customHeight="1">
      <x:c r="C68" s="2"/>
      <x:c r="D68" s="3"/>
      <x:c r="E68" s="3"/>
      <x:c r="F68" s="3"/>
      <x:c r="G68" s="3"/>
      <x:c r="H68" s="3"/>
      <x:c r="I68" s="3"/>
    </x:row>
    <x:row r="69" ht="22" customHeight="1">
      <x:c r="C69" s="2"/>
      <x:c r="D69" s="3"/>
      <x:c r="E69" s="3"/>
      <x:c r="F69" s="3"/>
      <x:c r="G69" s="3"/>
      <x:c r="H69" s="3"/>
      <x:c r="I69" s="3"/>
    </x:row>
    <x:row r="70" ht="22" customHeight="1">
      <x:c r="C70" s="2"/>
      <x:c r="D70" s="3"/>
      <x:c r="E70" s="3"/>
      <x:c r="F70" s="3"/>
      <x:c r="G70" s="3"/>
      <x:c r="H70" s="3"/>
      <x:c r="I70" s="3"/>
    </x:row>
    <x:row r="71" ht="22" customHeight="1">
      <x:c r="C71" s="2"/>
      <x:c r="D71" s="3"/>
      <x:c r="E71" s="3"/>
      <x:c r="F71" s="3"/>
      <x:c r="G71" s="3"/>
      <x:c r="H71" s="3"/>
      <x:c r="I71" s="3"/>
    </x:row>
    <x:row r="72" ht="22" customHeight="1">
      <x:c r="C72" s="2"/>
      <x:c r="D72" s="3"/>
      <x:c r="E72" s="3"/>
      <x:c r="F72" s="3"/>
      <x:c r="G72" s="3"/>
      <x:c r="H72" s="3"/>
      <x:c r="I72" s="3"/>
    </x:row>
    <x:row r="73" ht="22" customHeight="1">
      <x:c r="C73" s="2"/>
      <x:c r="D73" s="3"/>
      <x:c r="E73" s="3"/>
      <x:c r="F73" s="3"/>
      <x:c r="G73" s="3"/>
      <x:c r="H73" s="3"/>
      <x:c r="I73" s="3"/>
    </x:row>
    <x:row r="74" ht="22" customHeight="1">
      <x:c r="C74" s="2"/>
      <x:c r="D74" s="3"/>
      <x:c r="E74" s="3"/>
      <x:c r="F74" s="3"/>
      <x:c r="G74" s="3"/>
      <x:c r="H74" s="3"/>
      <x:c r="I74" s="3"/>
    </x:row>
    <x:row r="75" ht="22" customHeight="1">
      <x:c r="C75" s="2"/>
      <x:c r="D75" s="3"/>
      <x:c r="E75" s="3"/>
      <x:c r="F75" s="3"/>
      <x:c r="G75" s="3"/>
      <x:c r="H75" s="3"/>
      <x:c r="I75" s="3"/>
    </x:row>
    <x:row r="76" ht="22" customHeight="1">
      <x:c r="C76" s="2"/>
      <x:c r="D76" s="3"/>
      <x:c r="E76" s="3"/>
      <x:c r="F76" s="3"/>
      <x:c r="G76" s="3"/>
      <x:c r="H76" s="3"/>
      <x:c r="I76" s="3"/>
    </x:row>
    <x:row r="77" ht="22" customHeight="1">
      <x:c r="C77" s="2"/>
      <x:c r="D77" s="3"/>
      <x:c r="E77" s="3"/>
      <x:c r="F77" s="3"/>
      <x:c r="G77" s="3"/>
      <x:c r="H77" s="3"/>
      <x:c r="I77" s="3"/>
    </x:row>
    <x:row r="78" ht="22" customHeight="1">
      <x:c r="C78" s="2"/>
      <x:c r="D78" s="3"/>
      <x:c r="E78" s="3"/>
      <x:c r="F78" s="3"/>
      <x:c r="G78" s="3"/>
      <x:c r="H78" s="3"/>
      <x:c r="I78" s="3"/>
    </x:row>
    <x:row r="79" ht="22" customHeight="1">
      <x:c r="C79" s="2"/>
      <x:c r="D79" s="3"/>
      <x:c r="E79" s="3"/>
      <x:c r="F79" s="3"/>
      <x:c r="G79" s="3"/>
      <x:c r="H79" s="3"/>
      <x:c r="I79" s="3"/>
    </x:row>
    <x:row r="80" ht="22" customHeight="1">
      <x:c r="C80" s="2"/>
      <x:c r="D80" s="3"/>
      <x:c r="E80" s="3"/>
      <x:c r="F80" s="3"/>
      <x:c r="G80" s="3"/>
      <x:c r="H80" s="3"/>
      <x:c r="I80" s="3"/>
    </x:row>
    <x:row r="81" ht="22" customHeight="1">
      <x:c r="C81" s="2"/>
      <x:c r="D81" s="3"/>
      <x:c r="E81" s="3"/>
      <x:c r="F81" s="3"/>
      <x:c r="G81" s="3"/>
      <x:c r="H81" s="3"/>
      <x:c r="I81" s="3"/>
    </x:row>
    <x:row r="82" ht="22" customHeight="1">
      <x:c r="C82" s="2"/>
      <x:c r="D82" s="3"/>
      <x:c r="E82" s="3"/>
      <x:c r="F82" s="3"/>
      <x:c r="G82" s="3"/>
      <x:c r="H82" s="3"/>
      <x:c r="I82" s="3"/>
    </x:row>
    <x:row r="83" ht="22" customHeight="1">
      <x:c r="C83" s="2"/>
      <x:c r="D83" s="3"/>
      <x:c r="E83" s="3"/>
      <x:c r="F83" s="3"/>
      <x:c r="G83" s="3"/>
      <x:c r="H83" s="3"/>
      <x:c r="I83" s="3"/>
    </x:row>
    <x:row r="84" ht="22" customHeight="1">
      <x:c r="C84" s="2"/>
      <x:c r="D84" s="3"/>
      <x:c r="E84" s="3"/>
      <x:c r="F84" s="3"/>
      <x:c r="G84" s="3"/>
      <x:c r="H84" s="3"/>
      <x:c r="I84" s="3"/>
    </x:row>
    <x:row r="85" ht="22" customHeight="1">
      <x:c r="C85" s="2"/>
      <x:c r="D85" s="3"/>
      <x:c r="E85" s="3"/>
      <x:c r="F85" s="3"/>
      <x:c r="G85" s="3"/>
      <x:c r="H85" s="3"/>
      <x:c r="I85" s="3"/>
    </x:row>
    <x:row r="86" ht="22" customHeight="1">
      <x:c r="C86" s="2"/>
      <x:c r="D86" s="3"/>
      <x:c r="E86" s="3"/>
      <x:c r="F86" s="3"/>
      <x:c r="G86" s="3"/>
      <x:c r="H86" s="3"/>
      <x:c r="I86" s="3"/>
    </x:row>
    <x:row r="87" ht="22" customHeight="1">
      <x:c r="C87" s="2"/>
      <x:c r="D87" s="3"/>
      <x:c r="E87" s="3"/>
      <x:c r="F87" s="3"/>
      <x:c r="G87" s="3"/>
      <x:c r="H87" s="3"/>
      <x:c r="I87" s="3"/>
    </x:row>
    <x:row r="88" ht="22" customHeight="1">
      <x:c r="C88" s="2"/>
      <x:c r="D88" s="3"/>
      <x:c r="E88" s="3"/>
      <x:c r="F88" s="3"/>
      <x:c r="G88" s="3"/>
      <x:c r="H88" s="3"/>
      <x:c r="I88" s="3"/>
    </x:row>
    <x:row r="89" ht="22" customHeight="1">
      <x:c r="C89" s="2"/>
      <x:c r="D89" s="3"/>
      <x:c r="E89" s="3"/>
      <x:c r="F89" s="3"/>
      <x:c r="G89" s="3"/>
      <x:c r="H89" s="3"/>
      <x:c r="I89" s="3"/>
    </x:row>
    <x:row r="90" ht="22" customHeight="1">
      <x:c r="C90" s="2"/>
      <x:c r="D90" s="3"/>
      <x:c r="E90" s="3"/>
      <x:c r="F90" s="3"/>
      <x:c r="G90" s="3"/>
      <x:c r="H90" s="3"/>
      <x:c r="I90" s="3"/>
    </x:row>
    <x:row r="91" ht="22" customHeight="1">
      <x:c r="C91" s="2"/>
      <x:c r="D91" s="3"/>
      <x:c r="E91" s="3"/>
      <x:c r="F91" s="3"/>
      <x:c r="G91" s="3"/>
      <x:c r="H91" s="3"/>
      <x:c r="I91" s="3"/>
    </x:row>
    <x:row r="92" ht="22" customHeight="1">
      <x:c r="C92" s="2"/>
      <x:c r="D92" s="3"/>
      <x:c r="E92" s="3"/>
      <x:c r="F92" s="3"/>
      <x:c r="G92" s="3"/>
      <x:c r="H92" s="3"/>
      <x:c r="I92" s="3"/>
    </x:row>
    <x:row r="93" ht="22" customHeight="1">
      <x:c r="C93" s="2"/>
      <x:c r="D93" s="3"/>
      <x:c r="E93" s="3"/>
      <x:c r="F93" s="3"/>
      <x:c r="G93" s="3"/>
      <x:c r="H93" s="3"/>
      <x:c r="I93" s="3"/>
    </x:row>
    <x:row r="94" ht="22" customHeight="1">
      <x:c r="C94" s="2"/>
      <x:c r="D94" s="3"/>
      <x:c r="E94" s="3"/>
      <x:c r="F94" s="3"/>
      <x:c r="G94" s="3"/>
      <x:c r="H94" s="3"/>
      <x:c r="I94" s="3"/>
    </x:row>
    <x:row r="95" ht="22" customHeight="1">
      <x:c r="C95" s="2"/>
      <x:c r="D95" s="3"/>
      <x:c r="E95" s="3"/>
      <x:c r="F95" s="3"/>
      <x:c r="G95" s="3"/>
      <x:c r="H95" s="3"/>
      <x:c r="I95" s="3"/>
    </x:row>
    <x:row r="96" ht="22" customHeight="1">
      <x:c r="C96" s="2"/>
      <x:c r="D96" s="3"/>
      <x:c r="E96" s="3"/>
      <x:c r="F96" s="3"/>
      <x:c r="G96" s="3"/>
      <x:c r="H96" s="3"/>
      <x:c r="I96" s="3"/>
    </x:row>
    <x:row r="97" ht="22" customHeight="1">
      <x:c r="C97" s="2"/>
      <x:c r="D97" s="3"/>
      <x:c r="E97" s="3"/>
      <x:c r="F97" s="3"/>
      <x:c r="G97" s="3"/>
      <x:c r="H97" s="3"/>
      <x:c r="I97" s="3"/>
    </x:row>
    <x:row r="98" ht="22" customHeight="1">
      <x:c r="C98" s="2"/>
      <x:c r="D98" s="3"/>
      <x:c r="E98" s="3"/>
      <x:c r="F98" s="3"/>
      <x:c r="G98" s="3"/>
      <x:c r="H98" s="3"/>
      <x:c r="I98" s="3"/>
    </x:row>
    <x:row r="99" ht="22" customHeight="1">
      <x:c r="C99" s="2"/>
      <x:c r="D99" s="3"/>
      <x:c r="E99" s="3"/>
      <x:c r="F99" s="3"/>
      <x:c r="G99" s="3"/>
      <x:c r="H99" s="3"/>
      <x:c r="I99" s="3"/>
    </x:row>
    <x:row r="100" ht="22" customHeight="1">
      <x:c r="C100" s="2"/>
      <x:c r="D100" s="3"/>
      <x:c r="E100" s="3"/>
      <x:c r="F100" s="3"/>
      <x:c r="G100" s="3"/>
      <x:c r="H100" s="3"/>
      <x:c r="I100" s="3"/>
    </x:row>
  </x:sheetData>
  <x:mergeCells>
    <x:mergeCell ref="C1:I1"/>
    <x:mergeCell ref="C2:I2"/>
    <x:mergeCell ref="C7:I7"/>
    <x:mergeCell ref="C8:I8"/>
    <x:mergeCell ref="C12:I12"/>
    <x:mergeCell ref="C13:I13"/>
    <x:mergeCell ref="C17:I17"/>
    <x:mergeCell ref="C18:I18"/>
    <x:mergeCell ref="C22:I22"/>
    <x:mergeCell ref="C23:I23"/>
    <x:mergeCell ref="C27:I27"/>
    <x:mergeCell ref="C28:I28"/>
    <x:mergeCell ref="C32:I32"/>
    <x:mergeCell ref="C33:I33"/>
    <x:mergeCell ref="C38:I38"/>
    <x:mergeCell ref="C41:I41"/>
    <x:mergeCell ref="C44:I44"/>
    <x:mergeCell ref="C47:I47"/>
    <x:mergeCell ref="C50:I50"/>
  </x:mergeCells>
  <x:pageMargins left="0.7" right="0.7" top="0.75" bottom="0.75" header="0.3" footer="0.3"/>
</x:worksheet>
</file>